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asks" sheetId="2" state="visible" r:id="rId4"/>
    <sheet name="Values to send me" sheetId="3" state="visible" r:id="rId5"/>
    <sheet name="Files you'll need" sheetId="4" state="visible" r:id="rId6"/>
  </sheets>
  <definedNames>
    <definedName function="false" hidden="true" localSheetId="1" name="_xlnm._FilterDatabase" vbProcedure="false">Tasks!$A$1:$L$39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<sst xmlns="http://schemas.openxmlformats.org/spreadsheetml/2006/main" count="502" uniqueCount="370">
  <si>
    <t xml:space="preserve">Own Hub launch tasks</t>
  </si>
  <si>
    <t xml:space="preserve">What this is</t>
  </si>
  <si>
    <t xml:space="preserve">Everything left before Own Hub can go live on the App Store and Google Play. The code is finished and tested; these are the steps only you can do.</t>
  </si>
  <si>
    <t xml:space="preserve">How to use it</t>
  </si>
  <si>
    <t xml:space="preserve">1. Work through the Tasks tab top to bottom (rows are in order).
2. Change Status as you go.
3. Put the facts Claude needs in the Values tab, then tell Claude "values filled".
4. The Files tab shows where every ready-made answer and image is.</t>
  </si>
  <si>
    <t xml:space="preserve">Colours</t>
  </si>
  <si>
    <t xml:space="preserve">Yellow cells are for you to fill in. Grey italic text is an example.</t>
  </si>
  <si>
    <t xml:space="preserve">Must-do tasks</t>
  </si>
  <si>
    <t xml:space="preserve">Must-do tasks done</t>
  </si>
  <si>
    <t xml:space="preserve">Must-do tasks left</t>
  </si>
  <si>
    <t xml:space="preserve">All tasks done</t>
  </si>
  <si>
    <t xml:space="preserve">Hard deadline</t>
  </si>
  <si>
    <t xml:space="preserve">Personal Data Protection Centre permit application before 1 November 2026.</t>
  </si>
  <si>
    <t xml:space="preserve">Next task</t>
  </si>
  <si>
    <t xml:space="preserve">Already done for you</t>
  </si>
  <si>
    <t xml:space="preserve">App code</t>
  </si>
  <si>
    <t xml:space="preserve">Tour before sign-up, 9 taps to a workout, legal consent, data copy and deletion, iPhone widgets, the animated kitten, Firebase Analytics and Crashlytics (only with her yes), and the admin console. Branch onboarding/2026-10-06 on GitHub.</t>
  </si>
  <si>
    <t xml:space="preserve">Tests</t>
  </si>
  <si>
    <t xml:space="preserve">All app, server and security-rule tests pass. Android and iPhone build.</t>
  </si>
  <si>
    <t xml:space="preserve">Server (Firebase)</t>
  </si>
  <si>
    <t xml:space="preserve">Live since 6 Oct 2026: 21 functions, automatic deletion, rules, secrets. The admin additions wait for the deploy task in phase 8.</t>
  </si>
  <si>
    <t xml:space="preserve">Website</t>
  </si>
  <si>
    <t xml:space="preserve">Built and tested (Lighthouse 99 to 100), English and Arabic, store badges ready. Needs only your domain and one deploy command.</t>
  </si>
  <si>
    <t xml:space="preserve">Legal pages</t>
  </si>
  <si>
    <t xml:space="preserve">Privacy policy and terms v3 in English and Arabic, including usage statistics, with sources in legal-values.md.</t>
  </si>
  <si>
    <t xml:space="preserve">Store material</t>
  </si>
  <si>
    <t xml:space="preserve">Screenshots in all sizes, icon, store text, privacy and Data safety answers, review notes.</t>
  </si>
  <si>
    <t xml:space="preserve">#</t>
  </si>
  <si>
    <t xml:space="preserve">Phase</t>
  </si>
  <si>
    <t xml:space="preserve">Task</t>
  </si>
  <si>
    <t xml:space="preserve">Why it matters</t>
  </si>
  <si>
    <t xml:space="preserve">Blocks launch?</t>
  </si>
  <si>
    <t xml:space="preserve">Do this first</t>
  </si>
  <si>
    <t xml:space="preserve">Where</t>
  </si>
  <si>
    <t xml:space="preserve">Step by step</t>
  </si>
  <si>
    <t xml:space="preserve">Done when</t>
  </si>
  <si>
    <t xml:space="preserve">Cost and time</t>
  </si>
  <si>
    <t xml:space="preserve">Status</t>
  </si>
  <si>
    <t xml:space="preserve">Your notes</t>
  </si>
  <si>
    <t xml:space="preserve">1. Today: backend</t>
  </si>
  <si>
    <t xml:space="preserve">Finish the Firebase functions deploy</t>
  </si>
  <si>
    <t xml:space="preserve">14 new server functions (account deletion, terms acceptance, health consent, review requests, waitlist) are not live yet. Your privacy pages describe them, so they must be live first.</t>
  </si>
  <si>
    <t xml:space="preserve">Yes</t>
  </si>
  <si>
    <t xml:space="preserve">Your Mac Terminal</t>
  </si>
  <si>
    <t xml:space="preserve">1. Open Terminal.
2. Run: cd ~/ownhub/.claude/worktrees/onboarding
3. Run: bash firebase/ops/reviewer-secrets.sh
4. Run: firebase deploy --only functions --project own-hub 2&gt;&amp;1 | tee ~/ownhub/.claude/deploy-functions.log
5. Tell Claude: "done". Claude reads the log, fixes any error and checks the live project.</t>
  </si>
  <si>
    <t xml:space="preserve">Claude confirms all 21 functions are ACTIVE and the waitlist link no longer returns 404.</t>
  </si>
  <si>
    <t xml:space="preserve">Free · 15 min</t>
  </si>
  <si>
    <t xml:space="preserve">Done</t>
  </si>
  <si>
    <t xml:space="preserve">Verified 6 Oct 2026: 21/21 functions ACTIVE, 2 triggers, 9 TTLs ACTIVE, 4 secrets, waitlist live.</t>
  </si>
  <si>
    <t xml:space="preserve">2. Decisions and identity</t>
  </si>
  <si>
    <t xml:space="preserve">Decide: publish as an individual or as a company</t>
  </si>
  <si>
    <t xml:space="preserve">It decides which Apple and Google accounts you open. Apple says apps that collect sensitive data (ID, face, health) should come from a legal entity (guideline 5.1.1(ix)), so an individual account carries a rejection risk.</t>
  </si>
  <si>
    <t xml:space="preserve">Your decision</t>
  </si>
  <si>
    <t xml:space="preserve">1. Individual: fastest. Your name shows as the seller. Small risk Apple asks for a company.
2. Company: needs a commercial register entry, a tax card and a D-U-N-S number (free, up to 30 days). Clears the Apple risk and skips Google's 14-day test rule.
3. Write your choice in the Values tab (row: Publisher type).</t>
  </si>
  <si>
    <t xml:space="preserve">Choice written in the Values tab.</t>
  </si>
  <si>
    <t xml:space="preserve">Free · 1 day to decide</t>
  </si>
  <si>
    <t xml:space="preserve">Individual, from your personal accounts (7 Oct 2026).</t>
  </si>
  <si>
    <t xml:space="preserve">Company only: get a D-U-N-S number</t>
  </si>
  <si>
    <t xml:space="preserve">Apple and Google need it to open an organisation account.</t>
  </si>
  <si>
    <t xml:space="preserve">Only if company</t>
  </si>
  <si>
    <t xml:space="preserve">Decide individual or company</t>
  </si>
  <si>
    <t xml:space="preserve">dnb.com, or Apple's D-U-N-S lookup page</t>
  </si>
  <si>
    <t xml:space="preserve">1. Go to developer.apple.com/enroll/duns-lookup.
2. Search your company. If not found, request a new number.
3. Use the exact company name and address from the commercial register.
4. Save the number in the Values tab.</t>
  </si>
  <si>
    <t xml:space="preserve">You have a 9-digit D-U-N-S number.</t>
  </si>
  <si>
    <t xml:space="preserve">Free · up to 30 days</t>
  </si>
  <si>
    <t xml:space="preserve">Not needed</t>
  </si>
  <si>
    <t xml:space="preserve">You publish as an individual.</t>
  </si>
  <si>
    <t xml:space="preserve">Buy a domain</t>
  </si>
  <si>
    <t xml:space="preserve">The privacy, terms, support and delete-account links are built into the app. Changing them later needs a new app release. A domain also gives you real email addresses.</t>
  </si>
  <si>
    <t xml:space="preserve">Cloudflare Registrar (cheapest) or Namecheap</t>
  </si>
  <si>
    <t xml:space="preserve">1. Pick a name, for example ownhub.app.
2. Create a free Cloudflare account at dash.cloudflare.com.
3. Domain Registration &gt; Register Domains &gt; search and buy (about 10 to 15 USD a year).
4. Write the domain in the Values tab.</t>
  </si>
  <si>
    <t xml:space="preserve">You own the domain and can see it in Cloudflare.</t>
  </si>
  <si>
    <t xml:space="preserve">About 10 to 15 USD/year · 15 min</t>
  </si>
  <si>
    <t xml:space="preserve">Not started</t>
  </si>
  <si>
    <t xml:space="preserve">Create privacy@ and support@ email addresses</t>
  </si>
  <si>
    <t xml:space="preserve">Stores and the law expect working contact addresses. A Google Workspace mailbox comes with a data processing agreement; personal Gmail does not.</t>
  </si>
  <si>
    <t xml:space="preserve">workspace.google.com</t>
  </si>
  <si>
    <t xml:space="preserve">1. Sign up for Google Workspace Business Starter with your new domain.
2. Follow its steps to verify the domain (it adds DNS records in Cloudflare for you).
3. Create privacy@yourdomain and support@yourdomain (an alias of your main mailbox is fine).
4. Send a test email to each.
5. Write both addresses in the Values tab.</t>
  </si>
  <si>
    <t xml:space="preserve">Both addresses receive mail.</t>
  </si>
  <si>
    <t xml:space="preserve">About 7 USD/month · 30 min</t>
  </si>
  <si>
    <t xml:space="preserve">Get a postal address for the legal pages</t>
  </si>
  <si>
    <t xml:space="preserve">Egyptian consumer law, the cybercrime law and Apple's terms need a name and an address. It does not have to be your home.</t>
  </si>
  <si>
    <t xml:space="preserve">Egypt Post (P.O. box) or an office address</t>
  </si>
  <si>
    <t xml:space="preserve">1. Rent a P.O. box at your nearest Egypt Post office, or use a company or coworking address.
2. Write it in English and Arabic in the Values tab.</t>
  </si>
  <si>
    <t xml:space="preserve">Address written in the Values tab.</t>
  </si>
  <si>
    <t xml:space="preserve">Small yearly fee · 1 day</t>
  </si>
  <si>
    <t xml:space="preserve">Send Claude the Values tab</t>
  </si>
  <si>
    <t xml:space="preserve">Claude puts your domain, emails and address into the app and the website, rebuilds both, and prepares the website files for upload.</t>
  </si>
  <si>
    <t xml:space="preserve">Rows above</t>
  </si>
  <si>
    <t xml:space="preserve">This sheet</t>
  </si>
  <si>
    <t xml:space="preserve">1. Fill every yellow cell in the Values tab that you have so far.
2. Tell Claude: "values filled".
3. Claude updates the app links and the site, re-runs all checks and gives you a folder to upload.</t>
  </si>
  <si>
    <t xml:space="preserve">Claude confirms the app and site are updated and checks pass.</t>
  </si>
  <si>
    <t xml:space="preserve">Free · 5 min for you</t>
  </si>
  <si>
    <t xml:space="preserve">Publish the website</t>
  </si>
  <si>
    <t xml:space="preserve">The stores check that the privacy policy and delete-account pages are live before review. The site is built and tested; it only needs your domain.</t>
  </si>
  <si>
    <t xml:space="preserve">Buy a domain; Send Claude the Values tab</t>
  </si>
  <si>
    <t xml:space="preserve">Cloudflare (dashboard and Terminal)</t>
  </si>
  <si>
    <t xml:space="preserve">1. Tell Claude your domain. Claude sets it in the site and in the waitlist function and rebuilds.
2. Terminal, once: npx wrangler login, then npx wrangler pages project create ownhub --production-branch main
3. Cloudflare dashboard &gt; your domain &gt; Email &gt; Email Routing: turn it on and forward privacy@ and support@ to your inbox (or tell Claude to keep showing your Gmail address).
4. Terminal: cd ~/ownhub/.claude/worktrees/onboarding and run firebase deploy --only functions:identity:join_waitlist --project own-hub
5. Terminal: site/_build/deploy.sh https://yourdomain (add --dry-run first to preview). It refuses to upload until the domain, the waitlist function and the mail records all match.
6. Dashboard: Workers &amp; Pages &gt; ownhub &gt; Custom domains &gt; Set up a domain &gt; your domain. Do the same for www and add the Redirect from WWW to root rule.
7. Open yourdomain/privacy and yourdomain/ar/privacy on your phone and check they load.</t>
  </si>
  <si>
    <t xml:space="preserve">The home, privacy, terms, support and delete-account pages open on your domain in English and Arabic, and a test waitlist entry works.</t>
  </si>
  <si>
    <t xml:space="preserve">Free (Pages and Email Routing) · 45 min</t>
  </si>
  <si>
    <t xml:space="preserve">3. Legal (Egypt)</t>
  </si>
  <si>
    <t xml:space="preserve">Apply for the Personal Data Protection Centre permit</t>
  </si>
  <si>
    <t xml:space="preserve">Processing ID, face and health data, or sending data abroad, without a permit is a crime after 1 November 2026 (Law 151/2020, Articles 41 and 42). As an individual you apply for a permit, not a licence.</t>
  </si>
  <si>
    <t xml:space="preserve">Yes, before 1 Nov 2026</t>
  </si>
  <si>
    <t xml:space="preserve">portal.pdpc.gov.eg</t>
  </si>
  <si>
    <t xml:space="preserve">1. Go to portal.pdpc.gov.eg and register.
2. Apply as a data controller that processes sensitive data (national ID, face match, health) and transfers data abroad (Germany/EU, United States, Google data centres worldwide).
3. The fee is zero below 25,000 users.
4. If the portal has no route for an individual, email info@pdpc.gov.eg or call 17372 and ask how to apply.
5. Save the application reference in the Values tab.
6. The Centre has 90 days to answer. Silence counts as refusal, so follow up.</t>
  </si>
  <si>
    <t xml:space="preserve">You have an application reference number. Later: the permit number and expiry date.</t>
  </si>
  <si>
    <t xml:space="preserve">Free · 1 to 2 hours, then up to 90 days</t>
  </si>
  <si>
    <t xml:space="preserve">Accept Google's data processing terms</t>
  </si>
  <si>
    <t xml:space="preserve">The law requires a written agreement with anyone who processes data for you. Google offers one; you just accept it.</t>
  </si>
  <si>
    <t xml:space="preserve">Firebase console and Google Cloud console</t>
  </si>
  <si>
    <t xml:space="preserve">1. Firebase console &gt; project own-hub &gt; gear icon &gt; Project settings &gt; General &gt; Data privacy &gt; review and accept the Data Processing and Security Terms.
2. Google Cloud console &gt; search "Data processing" &gt; Legal and compliance &gt; accept the Cloud Data Processing Addendum.
3. Take a screenshot of each and keep them in a folder.</t>
  </si>
  <si>
    <t xml:space="preserve">Both accepted, screenshots saved.</t>
  </si>
  <si>
    <t xml:space="preserve">Set up Google Analytics with privacy settings</t>
  </si>
  <si>
    <t xml:space="preserve">The app now sends usage statistics only after she turns on Help improve Own Hub. Your privacy policy promises these settings, so they must be true before launch.</t>
  </si>
  <si>
    <t xml:space="preserve">Firebase console and Google Analytics admin</t>
  </si>
  <si>
    <t xml:space="preserve">1. Firebase console &gt; Project settings &gt; Integrations &gt; Google Analytics &gt; Enable, and create a GA4 property for own-hub.
2. Google Analytics &gt; Admin &gt; Account settings: accept the Google Ads Data Processing Terms, and turn every Data sharing setting off.
3. Admin &gt; Data collection: Google signals off; granular location and device data off; ads personalization off, in all regions.
4. Admin &gt; Data retention: set event and user data to 2 months, and turn Reset on new activity off.
5. Do not link Google Ads, AdMob or Search Ads 360. Leave BigQuery export off.
6. Admin &gt; Custom definitions: add event-scoped dimensions source, outcome, method, tour_stop, reason, is_first, locale, duration_bucket, flow; and user-scoped app_language, kitten_moves, has_home_widget, build_channel.
7. Admin &gt; Events: mark sign_up, youre_in, tutorial_complete and workout_complete as key events.
8. Admin &gt; Data filters: activate the Developer traffic filter.</t>
  </si>
  <si>
    <t xml:space="preserve">All eight settings saved; screenshots of the Data retention and Data collection pages kept.</t>
  </si>
  <si>
    <t xml:space="preserve">Free · 30 min</t>
  </si>
  <si>
    <t xml:space="preserve">Check analytics events arrive (DebugView)</t>
  </si>
  <si>
    <t xml:space="preserve">Proves the events reach Firebase only after the switch is on, before real women use the app.</t>
  </si>
  <si>
    <t xml:space="preserve">No</t>
  </si>
  <si>
    <t xml:space="preserve">Set up Google Analytics with privacy settings; Build the release apps</t>
  </si>
  <si>
    <t xml:space="preserve">Your phone and Firebase console</t>
  </si>
  <si>
    <t xml:space="preserve">1. Ask Claude for a test build with analytics debug on.
2. Android: run adb shell setprop debug.firebase.analytics.app com.ownhub.app. iPhone: Claude adds -FIRDebugEnabled to the test build.
3. Open the app and check Firebase &gt; Analytics &gt; DebugView shows nothing yet.
4. On the phone step, turn on Help improve Own Hub, finish sign-up, start a workout.
5. DebugView should now show sign_up, youre_in and workout_start. Turn the switch off in Privacy and check events stop.</t>
  </si>
  <si>
    <t xml:space="preserve">Events appear only while the switch is on.</t>
  </si>
  <si>
    <t xml:space="preserve">Get Rahma's signed permission</t>
  </si>
  <si>
    <t xml:space="preserve">The app uses her name, photos, recipes and workouts. You (the publisher) need her written permission. Apple asks whether the app contains third-party content.</t>
  </si>
  <si>
    <t xml:space="preserve">A one-page letter</t>
  </si>
  <si>
    <t xml:space="preserve">1. Write a short letter: Rahma Mohsen allows Mahmoud Reda to use her name, image, recipes and workouts in the Own Hub app and its store listings.
2. Both sign and date it.
3. Keep a scanned copy. A lawyer can replace it with a full licence later.</t>
  </si>
  <si>
    <t xml:space="preserve">Signed letter scanned and saved.</t>
  </si>
  <si>
    <t xml:space="preserve">Free · 1 day</t>
  </si>
  <si>
    <t xml:space="preserve">Lawyer review (later, does not block launch by your choice)</t>
  </si>
  <si>
    <t xml:space="preserve">The legal pages use researched, cited values, but a licensed Egyptian lawyer should confirm them. Two questions matter most.</t>
  </si>
  <si>
    <t xml:space="preserve">An Egyptian lawyer</t>
  </si>
  <si>
    <t xml:space="preserve">1. Give the lawyer: ~/ownhub/.claude/release-compliance/legal-values.md and the live privacy and terms pages.
2. Top question: can a women-only service be challenged under Penal Code Article 161 bis (sex discrimination)?
3. Second: must Own Hub keep 180 days of server logs under the Cybercrime Law (today it keeps 30)?
4. Also ask them to check the widget paragraph and the usage statistics wording in the privacy policy (sections 3.5, 3.7, 4 to 6), and that consent is the right basis for analytics.
5. Send Claude any changes; Claude updates the pages.</t>
  </si>
  <si>
    <t xml:space="preserve">Lawyer's written answers received.</t>
  </si>
  <si>
    <t xml:space="preserve">Lawyer fee · 1 to 2 weeks</t>
  </si>
  <si>
    <t xml:space="preserve">4. Apple setup</t>
  </si>
  <si>
    <t xml:space="preserve">Enroll in the Apple Developer Program</t>
  </si>
  <si>
    <t xml:space="preserve">You cannot publish on the App Store without it.</t>
  </si>
  <si>
    <t xml:space="preserve">developer.apple.com/programs/enroll</t>
  </si>
  <si>
    <t xml:space="preserve">1. Use an Apple Account with two-factor authentication, in your legal name (or the company's).
2. Pay 99 USD.
3. After approval: Membership details &gt; copy the Team ID (10 letters/numbers).
4. Write it in the Values tab.</t>
  </si>
  <si>
    <t xml:space="preserve">You see your Team ID in the developer portal.</t>
  </si>
  <si>
    <t xml:space="preserve">99 USD/year · 1 to 2 days</t>
  </si>
  <si>
    <t xml:space="preserve">Register the app's IDs and capabilities</t>
  </si>
  <si>
    <t xml:space="preserve">Reserves com.ownhub.app for you and switches on push, anti-fraud checks and widget data sharing.</t>
  </si>
  <si>
    <t xml:space="preserve">Enroll in Apple Developer Program</t>
  </si>
  <si>
    <t xml:space="preserve">developer.apple.com &gt; Certificates, IDs &amp; Profiles</t>
  </si>
  <si>
    <t xml:space="preserve">1. Identifiers &gt; + &gt; App Groups &gt; ID: group.com.ownhub.app.
2. Identifiers &gt; + &gt; App IDs &gt; App &gt; Bundle ID: com.ownhub.app. Tick Push Notifications, App Attest and App Groups (choose group.com.ownhub.app).
3. Identifiers &gt; + &gt; App IDs &gt; Bundle ID: com.ownhub.app.OwnHubWidgets. Tick App Groups (same group).
4. If Apple says com.ownhub.app is taken, tell Claude right away.</t>
  </si>
  <si>
    <t xml:space="preserve">All three identifiers show in the list.</t>
  </si>
  <si>
    <t xml:space="preserve">Free · 20 min</t>
  </si>
  <si>
    <t xml:space="preserve">Create a push key and give it to Firebase</t>
  </si>
  <si>
    <t xml:space="preserve">Without it, iPhone sign-in falls back to a slower picture check, and approval notifications cannot be sent.</t>
  </si>
  <si>
    <t xml:space="preserve">Register the app's IDs</t>
  </si>
  <si>
    <t xml:space="preserve">developer.apple.com &gt; Keys, then Firebase console</t>
  </si>
  <si>
    <t xml:space="preserve">1. Keys &gt; + &gt; name it OwnHub APNs &gt; tick Apple Push Notifications service &gt; Continue &gt; Register.
2. Download the .p8 file (only once) and note the Key ID.
3. Firebase console &gt; Project settings &gt; Cloud Messaging &gt; Apple app configuration &gt; upload the .p8 with the Key ID and your Team ID.
4. Back up the .p8 file somewhere safe.</t>
  </si>
  <si>
    <t xml:space="preserve">Firebase shows the APNs key as uploaded.</t>
  </si>
  <si>
    <t xml:space="preserve">Turn on App Attest in Firebase App Check (iPhone)</t>
  </si>
  <si>
    <t xml:space="preserve">Stops fake apps calling your server. The app already expects it.</t>
  </si>
  <si>
    <t xml:space="preserve">Firebase console &gt; App Check</t>
  </si>
  <si>
    <t xml:space="preserve">1. Firebase console &gt; App Check &gt; Apps &gt; your iOS app.
2. Register App Attest (and DeviceCheck as fallback) with your Team ID.
3. Do not press Enforce yet. Watch the metrics for a few days after launch first.</t>
  </si>
  <si>
    <t xml:space="preserve">App Check shows App Attest registered for the iOS app.</t>
  </si>
  <si>
    <t xml:space="preserve">Free · 10 min</t>
  </si>
  <si>
    <t xml:space="preserve">Create the app in App Store Connect</t>
  </si>
  <si>
    <t xml:space="preserve">This is the store listing and where you submit.</t>
  </si>
  <si>
    <t xml:space="preserve">appstoreconnect.apple.com</t>
  </si>
  <si>
    <t xml:space="preserve">1. Apps &gt; + &gt; New App &gt; iOS, name Own Hub, primary language Arabic or English, bundle ID com.ownhub.app, SKU ownhub.
2. Pricing and Availability: Free, Egypt only, untick "all future countries".
3. App Privacy: answer using the file listed in the Files tab (app-store-privacy-answers.md). Tracking: No.
4. Age Rating: answer the questionnaire, then choose Override to Higher Age Rating: 18+.
5. Business &gt; Digital Services Act: declare non-trader (Egypt only).
6. Add the privacy policy URL and support URL from your domain.
7. Listing text and screenshots: paste from the Files tab, add an Arabic localization too.</t>
  </si>
  <si>
    <t xml:space="preserve">All sections show complete (no red marks) except the build.</t>
  </si>
  <si>
    <t xml:space="preserve">Free · 1 to 2 hours</t>
  </si>
  <si>
    <t xml:space="preserve">5. Google setup</t>
  </si>
  <si>
    <t xml:space="preserve">Create a Google Play Console account</t>
  </si>
  <si>
    <t xml:space="preserve">You cannot publish on Google Play without it.</t>
  </si>
  <si>
    <t xml:space="preserve">play.google.com/console</t>
  </si>
  <si>
    <t xml:space="preserve">1. Sign up, choose personal or organisation, pay 25 USD.
2. Verify your identity and contact details.
3. Install the Play Console app on an Android phone and verify the device when asked.</t>
  </si>
  <si>
    <t xml:space="preserve">You can open the Play Console dashboard.</t>
  </si>
  <si>
    <t xml:space="preserve">25 USD once · 1 to 3 days</t>
  </si>
  <si>
    <t xml:space="preserve">Created and verified (7 Oct 2026). Personal account, so the 14-day closed test applies.</t>
  </si>
  <si>
    <t xml:space="preserve">Create the app in Play Console and fill App content</t>
  </si>
  <si>
    <t xml:space="preserve">Google will not review an app until every declaration is filled.</t>
  </si>
  <si>
    <t xml:space="preserve">Play Console &gt; Create app</t>
  </si>
  <si>
    <t xml:space="preserve">1. Create app: name Own Hub, default language, App, Free.
2. App content: Privacy policy URL; Ads: No; App access: paste from play-app-access.md (Files tab); Content rating: fill the questionnaire; Target audience: 18 and over only; Data safety: paste from play-data-safety.txt; Health apps: Activity and fitness, Nutrition and weight management, Period tracking, not a medical device; Government app: No; Financial features: None; News: No.
3. Countries: Egypt only.
4. Store listing: paste text, upload the 512 px icon, feature graphic and screenshots (Files tab).</t>
  </si>
  <si>
    <t xml:space="preserve">App content page shows every item complete.</t>
  </si>
  <si>
    <t xml:space="preserve">Upload the first build to internal testing</t>
  </si>
  <si>
    <t xml:space="preserve">The first upload locks the package name to you and creates Google's signing key.</t>
  </si>
  <si>
    <t xml:space="preserve">Build the release apps</t>
  </si>
  <si>
    <t xml:space="preserve">Play Console &gt; Testing &gt; Internal testing</t>
  </si>
  <si>
    <t xml:space="preserve">1. Create release &gt; upload the .aab file Claude gives you.
2. Add yourself as a tester and roll out.
3. Install from the tester link on your Android phone.</t>
  </si>
  <si>
    <t xml:space="preserve">The app installs from the Play internal test link.</t>
  </si>
  <si>
    <t xml:space="preserve">Give Firebase the Android signing fingerprints</t>
  </si>
  <si>
    <t xml:space="preserve">Without them, phone sign-in and the anti-fraud check fail on apps installed from Play.</t>
  </si>
  <si>
    <t xml:space="preserve">Play Console, then Firebase console</t>
  </si>
  <si>
    <t xml:space="preserve">1. Play Console &gt; Test and release &gt; App integrity &gt; App signing: copy SHA-1 and SHA-256 of both the app signing key and the upload key.
2. Firebase console &gt; Project settings &gt; your Android app &gt; Add fingerprint: add all four.
3. Play Console &gt; App integrity &gt; Play Integrity API &gt; link the Google Cloud project own-hub.
4. Firebase console &gt; App Check &gt; Android app &gt; register Play Integrity with the SHA-256.</t>
  </si>
  <si>
    <t xml:space="preserve">Four fingerprints in Firebase; Play Integrity linked.</t>
  </si>
  <si>
    <t xml:space="preserve">Run the 14-day closed test (personal accounts only)</t>
  </si>
  <si>
    <t xml:space="preserve">Google requires new personal accounts to test with at least 12 people for 14 days in a row before production.</t>
  </si>
  <si>
    <t xml:space="preserve">Yes if personal account</t>
  </si>
  <si>
    <t xml:space="preserve">Play Console &gt; Testing &gt; Closed testing</t>
  </si>
  <si>
    <t xml:space="preserve">1. Create a closed track, upload the same build.
2. Add at least 12 testers (women from your pilot, with Google accounts on Android).
3. Each must opt in on day 1 and stay opted in for 14 days.
4. Collect their feedback: Google asks about it when you apply.
5. On day 15: Dashboard &gt; Apply for production.</t>
  </si>
  <si>
    <t xml:space="preserve">Google approves production access (usually within 7 days).</t>
  </si>
  <si>
    <t xml:space="preserve">Free · 14 days plus up to 7</t>
  </si>
  <si>
    <t xml:space="preserve">6. Store reviewer access</t>
  </si>
  <si>
    <t xml:space="preserve">Create test phone numbers for the reviewers</t>
  </si>
  <si>
    <t xml:space="preserve">Reviewers must be able to log in, but they have no Egyptian SIM or national ID.</t>
  </si>
  <si>
    <t xml:space="preserve">Firebase console &gt; Authentication</t>
  </si>
  <si>
    <t xml:space="preserve">1. Authentication &gt; Sign-in method &gt; Phone &gt; Phone numbers for testing.
2. Add two made-up numbers, for example +20 100 000 0001 and +20 100 000 0002, each with a fixed 6-digit code.
3. Write the numbers in the Values tab (keep the codes only in Firebase and in the review notes).</t>
  </si>
  <si>
    <t xml:space="preserve">Two test numbers listed in Firebase.</t>
  </si>
  <si>
    <t xml:space="preserve">Let the reviewer accounts past the ID check, only during review</t>
  </si>
  <si>
    <t xml:space="preserve">The server lets listed reviewer accounts through without photos. The list must be empty at all other times.</t>
  </si>
  <si>
    <t xml:space="preserve">Create test phone numbers</t>
  </si>
  <si>
    <t xml:space="preserve">Terminal</t>
  </si>
  <si>
    <t xml:space="preserve">1. Sign in to the app once with each test number so the accounts exist.
2. Firebase console &gt; Authentication &gt; Users: copy the two user IDs.
3. In Terminal: printf 'UID1\nUID2\n' | gcloud secrets versions add store-reviewer-uids --data-file=- --project=own-hub
4. After approval, empty it: printf '\n' | gcloud secrets versions add store-reviewer-uids --data-file=- --project=own-hub</t>
  </si>
  <si>
    <t xml:space="preserve">Reviewer accounts reach Home in the app; list emptied after approval.</t>
  </si>
  <si>
    <t xml:space="preserve">Finish and paste the review notes</t>
  </si>
  <si>
    <t xml:space="preserve">Explains to Apple and Google why the app asks for ID and how to get in. Missing access is the top rejection reason.</t>
  </si>
  <si>
    <t xml:space="preserve">~/ownhub/docs/release/review-notes.md and launch-pack/play-app-access.md</t>
  </si>
  <si>
    <t xml:space="preserve">1. Open both files and replace every [OWNER] with your test numbers, codes and URLs.
2. App Store Connect &gt; your app &gt; App Review Information: Sign-in required Yes, paste the number and code, paste the notes, add your phone and email.
3. Play Console &gt; App content &gt; App access: paste the instructions.</t>
  </si>
  <si>
    <t xml:space="preserve">Both consoles show the notes and test login.</t>
  </si>
  <si>
    <t xml:space="preserve">7. Build and submit</t>
  </si>
  <si>
    <t xml:space="preserve">The store builds need your domain links and Team ID inside them. A release build refuses to start until the links are filled.</t>
  </si>
  <si>
    <t xml:space="preserve">Send Claude the Values tab; Enroll in Apple</t>
  </si>
  <si>
    <t xml:space="preserve">Claude, or Terminal</t>
  </si>
  <si>
    <t xml:space="preserve">1. Tell Claude: "build release". Claude sets the Team ID, builds the Android .aab and the iPhone archive, and runs the release check (every line must say PASS).
2. Or yourself: cd ~/ownhub/.claude/worktrees/onboarding/app then bash tool/build_release.sh, then flutter build ipa, then RELEASE_BASE_URL=https://yourdomain bash tool/release_preflight.sh</t>
  </si>
  <si>
    <t xml:space="preserve">Release check shows every line PASS; you have the .aab and the .ipa.</t>
  </si>
  <si>
    <t xml:space="preserve">Free · 1 hour</t>
  </si>
  <si>
    <t xml:space="preserve">Test on a real Android phone and a real iPhone</t>
  </si>
  <si>
    <t xml:space="preserve">Nothing has been run on a real device yet. A crash at launch is an instant rejection.</t>
  </si>
  <si>
    <t xml:space="preserve">Your phones (TestFlight for iPhone, Play internal test for Android)</t>
  </si>
  <si>
    <t xml:space="preserve">1. Install the test build on both phones.
2. In English, then in Arabic, check: the tour opens; Join; phone number and code; consent; ID front and back; selfie; check result; Start day 1; a workout; logging a meal; your data &gt; ask for a copy; delete account.
3. Also: deny the camera once and use Open settings; turn on airplane mode during the ID check.
4. On the iPhone, add the Own Hub widgets (long-press the Home Screen, tap +, search Own Hub), and add one to the Lock Screen. Check they show only this week's sessions and today's status, and that a tap opens the app.
5. On an iPad, open the iPhone app too (Apple reviewers often use iPads).
6. On the iPhone, sign in with your phone number and confirm the code step finishes and you land in the app (a widget setting changed how the app opens links).
7. Watch the kitten on Welcome, the tour, You're in and day-one Home: it moves once, smoothly, then sits still. Turn on Reduce Motion and check it stays still.
8. Turn on Help improve Own Hub at the phone step, then off in Profile &gt; Privacy, and check nothing breaks.
9. Send Claude anything that looks wrong.</t>
  </si>
  <si>
    <t xml:space="preserve">Every step works on both phones, in both languages.</t>
  </si>
  <si>
    <t xml:space="preserve">Submit to the App Store</t>
  </si>
  <si>
    <t xml:space="preserve">Starts Apple's review (usually 1 to 2 days).</t>
  </si>
  <si>
    <t xml:space="preserve">All Apple rows; Test on real phones</t>
  </si>
  <si>
    <t xml:space="preserve">App Store Connect</t>
  </si>
  <si>
    <t xml:space="preserve">1. Upload the iPhone build (Xcode Organizer or Transporter).
2. Answer the export compliance question: uses only standard encryption (the app already declares this).
3. Select the build, choose Manually release this version, Submit for Review.
4. Keep the reviewer list filled until approval, then empty it.</t>
  </si>
  <si>
    <t xml:space="preserve">Status: Ready for Distribution.</t>
  </si>
  <si>
    <t xml:space="preserve">Free · 30 min, then 1 to 2 days</t>
  </si>
  <si>
    <t xml:space="preserve">Release on Google Play</t>
  </si>
  <si>
    <t xml:space="preserve">The first Google release goes to 100 percent (gradual rollout is only for updates).</t>
  </si>
  <si>
    <t xml:space="preserve">Run the 14-day closed test or company account; all Google rows</t>
  </si>
  <si>
    <t xml:space="preserve">Play Console &gt; Production</t>
  </si>
  <si>
    <t xml:space="preserve">1. Create a production release with the same .aab.
2. Review and roll out.
3. Empty the reviewer list after approval.</t>
  </si>
  <si>
    <t xml:space="preserve">The app is live on Google Play in Egypt.</t>
  </si>
  <si>
    <t xml:space="preserve">Free · up to 7 days review</t>
  </si>
  <si>
    <t xml:space="preserve">After launch: add store buttons to the website</t>
  </si>
  <si>
    <t xml:space="preserve">So visitors can download the app from your site.</t>
  </si>
  <si>
    <t xml:space="preserve">Both apps live</t>
  </si>
  <si>
    <t xml:space="preserve">Claude</t>
  </si>
  <si>
    <t xml:space="preserve">1. Send Claude both store links.
2. Claude adds them, rebuilds the site and gives you the folder to upload to Cloudflare Pages again.</t>
  </si>
  <si>
    <t xml:space="preserve">Download buttons show on the home page.</t>
  </si>
  <si>
    <t xml:space="preserve">8. Your admin</t>
  </si>
  <si>
    <t xml:space="preserve">Deploy the new backend (admin, events, workouts)</t>
  </si>
  <si>
    <t xml:space="preserve">The console, events and workout library need new database rules, indexes and server functions on the live project.</t>
  </si>
  <si>
    <t xml:space="preserve">Push the code to GitHub</t>
  </si>
  <si>
    <t xml:space="preserve">1. cd ~/ownhub/.claude/worktrees/onboarding
2. firebase deploy --only firestore:rules,firestore:indexes,functions --project own-hub 2&gt;&amp;1 | tee ~/ownhub/.claude/deploy-admin.log
3. bash firebase/ops/ttl-policies.sh
4. Tell Claude: "done". Claude checks the live project.</t>
  </si>
  <si>
    <t xml:space="preserve">Claude confirms admin_dashboard and admin_logs are ACTIVE and the new rules are live.</t>
  </si>
  <si>
    <t xml:space="preserve">Set up your admin phone</t>
  </si>
  <si>
    <t xml:space="preserve">The admin console is never in the store app. It runs only in a separate build on your own phone, and only for an account you mark as admin.</t>
  </si>
  <si>
    <t xml:space="preserve">Firebase console and Terminal</t>
  </si>
  <si>
    <t xml:space="preserve">1. Firebase console &gt; App Check &gt; Apps &gt; Manage debug tokens: add a token and copy it.
2. cd ~/ownhub/.claude/worktrees/onboarding/app
3. OWNHUB_APP_CHECK_DEBUG_TOKEN=yourtoken bash tool/admin_access.sh build, then adb install -r build/admin/own-hub-admin-*.apk (or bash tool/admin_access.sh run with your phone connected).
4. Open it and sign in with your phone number.
5. Firebase console &gt; Authentication: copy your user ID.
6. gcloud auth application-default login, then bash tool/admin_access.sh grant yourUserID
7. Sign out and back in. Profile &gt; Admin console opens the dashboard, logs, content and events.</t>
  </si>
  <si>
    <t xml:space="preserve">Profile shows Admin console and the dashboard loads numbers.</t>
  </si>
  <si>
    <t xml:space="preserve">Add your content (photos, recipes, workouts, events)</t>
  </si>
  <si>
    <t xml:space="preserve">Members get new recipes and programmes within a day of publishing. Sample recipes without a method are saved as drafts until Rahma writes the steps.</t>
  </si>
  <si>
    <t xml:space="preserve">Admin phone and Terminal</t>
  </si>
  <si>
    <t xml:space="preserve">1. Photos and clips: cd ~/ownhub/.claude/worktrees/onboarding/app, then bash tool/admin_access.sh upload-media recipes recipeID ~/Pictures/dish.jpg (also events or exercises). Put the printed file name in the item.
2. Recipe: Admin console &gt; Recipes &gt; Add. Fill both languages, the method (one step per line), allergens checked by a second person, then turn on Show this recipe to members and Save.
3. Workout: add exercises first (Exercises &gt; Add, with their tags), then Programmes &gt; Add &gt; Add a session &gt; Add a move. Pick who each session is for. Turn on Show this programme to members and Save.
4. Many recipes at once: fill the template (6-v2/content/templates/recipes.csv, with method_ar), then Bulk import &gt; Check &gt; Commit.
5. Events: Admin console &gt; Events &gt; Add, publish it, then switch Events on in Feature flags when you want members to see them.</t>
  </si>
  <si>
    <t xml:space="preserve">Your first recipe and programme show on a member phone the next day.</t>
  </si>
  <si>
    <t xml:space="preserve">Your time</t>
  </si>
  <si>
    <t xml:space="preserve">9. Optional and later</t>
  </si>
  <si>
    <t xml:space="preserve">Choose where review alerts go (optional)</t>
  </si>
  <si>
    <t xml:space="preserve">When a woman asks for a human reviewer, the server can post an alert to a team chat. Today it only logs it, so you must check the review queue yourself.</t>
  </si>
  <si>
    <t xml:space="preserve">Slack or Google Chat</t>
  </si>
  <si>
    <t xml:space="preserve">1. Create an incoming webhook in Slack or Google Chat.
2. Send Claude the service name; Claude stores the URL and adds the service to the privacy policy.
3. Or tell Claude to switch the alert off.</t>
  </si>
  <si>
    <t xml:space="preserve">Alerts arrive in your chat, or you chose to switch them off.</t>
  </si>
  <si>
    <t xml:space="preserve">Pregnancy and postpartum sessions (content)</t>
  </si>
  <si>
    <t xml:space="preserve">Women who say they are pregnant get a see-your-doctor card, but no session written for them yet.</t>
  </si>
  <si>
    <t xml:space="preserve">Rahma</t>
  </si>
  <si>
    <t xml:space="preserve">1. Rahma writes (or a qualified trainer reviews) safe pregnancy and postpartum sessions.
2. Send them to Claude to add to the app.</t>
  </si>
  <si>
    <t xml:space="preserve">Sessions added and shown to the right users.</t>
  </si>
  <si>
    <t xml:space="preserve">Rahma's time</t>
  </si>
  <si>
    <t xml:space="preserve">Today the work is saved only on this Mac (commit 6446f76, branch onboarding/2026-10-06).</t>
  </si>
  <si>
    <t xml:space="preserve">1. Tell Claude: "push".</t>
  </si>
  <si>
    <t xml:space="preserve">Branch visible on GitHub.</t>
  </si>
  <si>
    <t xml:space="preserve">Free · 1 min</t>
  </si>
  <si>
    <t xml:space="preserve">Branch onboarding/2026-10-06 on GitHub (7 Oct 2026). main untouched. Push again after the final merge.</t>
  </si>
  <si>
    <t xml:space="preserve">What</t>
  </si>
  <si>
    <t xml:space="preserve">Notes</t>
  </si>
  <si>
    <t xml:space="preserve">Example (format only)</t>
  </si>
  <si>
    <t xml:space="preserve">Your value</t>
  </si>
  <si>
    <t xml:space="preserve">Publisher type</t>
  </si>
  <si>
    <t xml:space="preserve">Individual or company (Tasks row: Decide individual or company)</t>
  </si>
  <si>
    <t xml:space="preserve">Individual</t>
  </si>
  <si>
    <t xml:space="preserve">Legal name exactly as on the store accounts</t>
  </si>
  <si>
    <t xml:space="preserve">Appears in the privacy policy and terms</t>
  </si>
  <si>
    <t xml:space="preserve">Mahmoud Reda</t>
  </si>
  <si>
    <t xml:space="preserve">Domain</t>
  </si>
  <si>
    <t xml:space="preserve">Your website address</t>
  </si>
  <si>
    <t xml:space="preserve">ownhub.app</t>
  </si>
  <si>
    <t xml:space="preserve">Privacy email</t>
  </si>
  <si>
    <t xml:space="preserve">Shown in the app, the privacy policy and the delete page</t>
  </si>
  <si>
    <t xml:space="preserve">privacy@ownhub.app</t>
  </si>
  <si>
    <t xml:space="preserve">Support email</t>
  </si>
  <si>
    <t xml:space="preserve">Shown on the support page and in the terms</t>
  </si>
  <si>
    <t xml:space="preserve">support@ownhub.app</t>
  </si>
  <si>
    <t xml:space="preserve">Postal address (English)</t>
  </si>
  <si>
    <t xml:space="preserve">P.O. box or office. Not your home</t>
  </si>
  <si>
    <t xml:space="preserve">P.O. Box 123, Nasr City, Cairo, Egypt</t>
  </si>
  <si>
    <t xml:space="preserve">Postal address (Arabic)</t>
  </si>
  <si>
    <t xml:space="preserve">Same address in Arabic</t>
  </si>
  <si>
    <t xml:space="preserve">ص.ب 123، مدينة نصر، القاهرة، مصر</t>
  </si>
  <si>
    <t xml:space="preserve">D-U-N-S number (company only)</t>
  </si>
  <si>
    <t xml:space="preserve">9 digits</t>
  </si>
  <si>
    <t xml:space="preserve">123456789</t>
  </si>
  <si>
    <t xml:space="preserve">Apple Team ID</t>
  </si>
  <si>
    <t xml:space="preserve">10 characters, from developer.apple.com &gt; Membership</t>
  </si>
  <si>
    <t xml:space="preserve">AB12CD34EF</t>
  </si>
  <si>
    <t xml:space="preserve">Reviewer test phone numbers</t>
  </si>
  <si>
    <t xml:space="preserve">The made-up +20 numbers you added in Firebase (no codes here)</t>
  </si>
  <si>
    <t xml:space="preserve">+201000000001, +201000000002</t>
  </si>
  <si>
    <t xml:space="preserve">Website host</t>
  </si>
  <si>
    <t xml:space="preserve">Where the site is published</t>
  </si>
  <si>
    <t xml:space="preserve">Cloudflare Pages</t>
  </si>
  <si>
    <t xml:space="preserve">Email provider</t>
  </si>
  <si>
    <t xml:space="preserve">Who hosts privacy@ and support@</t>
  </si>
  <si>
    <t xml:space="preserve">Google Workspace</t>
  </si>
  <si>
    <t xml:space="preserve">PDPC application reference</t>
  </si>
  <si>
    <t xml:space="preserve">From portal.pdpc.gov.eg</t>
  </si>
  <si>
    <t xml:space="preserve">PDPC-2026-000123</t>
  </si>
  <si>
    <t xml:space="preserve">PDPC permit number and expiry</t>
  </si>
  <si>
    <t xml:space="preserve">Once issued</t>
  </si>
  <si>
    <t xml:space="preserve">Permit 456, valid until 31 Oct 2027</t>
  </si>
  <si>
    <t xml:space="preserve">Launch date (policy effective date)</t>
  </si>
  <si>
    <t xml:space="preserve">The day the store version goes live</t>
  </si>
  <si>
    <t xml:space="preserve">1 November 2026</t>
  </si>
  <si>
    <t xml:space="preserve">Review alert chat service (optional)</t>
  </si>
  <si>
    <t xml:space="preserve">Slack, Google Chat, or none</t>
  </si>
  <si>
    <t xml:space="preserve">None</t>
  </si>
  <si>
    <t xml:space="preserve">Filled</t>
  </si>
  <si>
    <t xml:space="preserve">Never write here</t>
  </si>
  <si>
    <t xml:space="preserve">Passwords, the .p8 key, the upload key password, or the test login codes.</t>
  </si>
  <si>
    <t xml:space="preserve">Where on your Mac</t>
  </si>
  <si>
    <t xml:space="preserve">Every task's detailed background</t>
  </si>
  <si>
    <t xml:space="preserve">~/ownhub/.claude/release-compliance/LAUNCH-CHECKLIST.md</t>
  </si>
  <si>
    <t xml:space="preserve">Status of every audit item (245)</t>
  </si>
  <si>
    <t xml:space="preserve">~/ownhub/.claude/release-compliance/FINAL-STATUS.md</t>
  </si>
  <si>
    <t xml:space="preserve">Researched legal values and sources (give to the lawyer)</t>
  </si>
  <si>
    <t xml:space="preserve">~/ownhub/.claude/release-compliance/legal-values.md</t>
  </si>
  <si>
    <t xml:space="preserve">App Store review notes</t>
  </si>
  <si>
    <t xml:space="preserve">~/ownhub/docs/release/review-notes.md</t>
  </si>
  <si>
    <t xml:space="preserve">Store listing text, English and Arabic</t>
  </si>
  <si>
    <t xml:space="preserve">~/ownhub/docs/release/launch-pack/store-listing-copy.md</t>
  </si>
  <si>
    <t xml:space="preserve">App Store privacy answers</t>
  </si>
  <si>
    <t xml:space="preserve">~/ownhub/docs/release/launch-pack/app-store-privacy-answers.md</t>
  </si>
  <si>
    <t xml:space="preserve">Google Play reviewer access text</t>
  </si>
  <si>
    <t xml:space="preserve">~/ownhub/docs/release/launch-pack/play-app-access.md</t>
  </si>
  <si>
    <t xml:space="preserve">Google Play Data safety answers</t>
  </si>
  <si>
    <t xml:space="preserve">~/ownhub/.claude/worktrees/onboarding/app/android/play-data-safety.txt</t>
  </si>
  <si>
    <t xml:space="preserve">Google Play screenshots (EN and AR, 1080x1920)</t>
  </si>
  <si>
    <t xml:space="preserve">~/ownhub/docs/release/launch-pack/screenshots/play/</t>
  </si>
  <si>
    <t xml:space="preserve">iPhone 6.3 inch screenshots (EN and AR)</t>
  </si>
  <si>
    <t xml:space="preserve">~/ownhub/docs/release/launch-pack/screenshots/apple-6.3/</t>
  </si>
  <si>
    <t xml:space="preserve">iPhone 6.9 inch screenshots (EN and AR)</t>
  </si>
  <si>
    <t xml:space="preserve">~/ownhub/docs/release/launch-pack/screenshots/apple-6.9/</t>
  </si>
  <si>
    <t xml:space="preserve">Google Play icon 512 px</t>
  </si>
  <si>
    <t xml:space="preserve">~/ownhub/docs/release/launch-pack/play-icon-512.png</t>
  </si>
  <si>
    <t xml:space="preserve">Google Play feature graphic 1024x500</t>
  </si>
  <si>
    <t xml:space="preserve">~/ownhub/docs/release/screenshots/play-phone/ (feature graphic file)</t>
  </si>
  <si>
    <t xml:space="preserve">App code (committed)</t>
  </si>
  <si>
    <t xml:space="preserve">~/ownhub/.claude/worktrees/onboarding (branch onboarding/2026-10-06)</t>
  </si>
  <si>
    <t xml:space="preserve">Android upload key (back it up offline, never share)</t>
  </si>
  <si>
    <t xml:space="preserve">~/keys/ownhub-upload.jks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</si>
</sst>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name val="Arial"/>
      <family val="0"/>
      <charset val="1"/>
    </font>
    <font>
      <sz val="10"/>
      <name val="Arial"/>
      <family val="0"/>
      <charset val="1"/>
    </font>
    <font>
      <b val="true"/>
      <sz val="11"/>
      <color rgb="FFC00000"/>
      <name val="Arial"/>
      <family val="0"/>
      <charset val="1"/>
    </font>
    <font>
      <b val="true"/>
      <sz val="12"/>
      <color rgb="FF1F3A5F"/>
      <name val="Arial"/>
      <family val="0"/>
      <charset val="1"/>
    </font>
    <font>
      <b val="true"/>
      <sz val="11"/>
      <color rgb="FFFFFFFF"/>
      <name val="Arial"/>
      <family val="0"/>
      <charset val="1"/>
    </font>
    <font>
      <i val="true"/>
      <sz val="10"/>
      <color rgb="FF808080"/>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DCE6F1"/>
        <bgColor rgb="FFE2EFDA"/>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FFF2CC"/>
          <bgColor rgb="FF000000"/>
        </patternFill>
      </fill>
    </dxf>
    <dxf>
      <fill>
        <patternFill>
          <bgColor rgb="FFE2EFDA"/>
        </patternFill>
      </fill>
    </dxf>
    <dxf>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0"/>
  </cols>
  <sheetData>
    <row r="1" customFormat="false" ht="19.7" hidden="false" customHeight="false" outlineLevel="0" collapsed="false">
      <c r="A1" s="1" t="s">
        <v>0</v>
      </c>
    </row>
    <row r="3" customFormat="false" ht="23.85" hidden="false" customHeight="false" outlineLevel="0" collapsed="false">
      <c r="A3" s="2" t="s">
        <v>1</v>
      </c>
      <c r="B3" s="3" t="s">
        <v>2</v>
      </c>
    </row>
    <row r="4" customFormat="false" ht="30" hidden="false" customHeight="true" outlineLevel="0" collapsed="false">
      <c r="A4" s="2" t="s">
        <v>3</v>
      </c>
      <c r="B4" s="3" t="s">
        <v>4</v>
      </c>
    </row>
    <row r="5" customFormat="false" ht="69.75" hidden="false" customHeight="true" outlineLevel="0" collapsed="false">
      <c r="A5" s="2" t="s">
        <v>5</v>
      </c>
      <c r="B5" s="3" t="s">
        <v>6</v>
      </c>
    </row>
    <row r="6" customFormat="false" ht="15" hidden="false" customHeight="false" outlineLevel="0" collapsed="false">
      <c r="A6" s="2" t="s">
        <v>7</v>
      </c>
      <c r="B6" s="4" t="n">
        <f aca="false">COUNTIF(Tasks!E:E,"Yes*")+COUNTIF(Tasks!E:E,"Only if*")</f>
        <v>30</v>
      </c>
    </row>
    <row r="7" customFormat="false" ht="15" hidden="false" customHeight="false" outlineLevel="0" collapsed="false">
      <c r="A7" s="2" t="s">
        <v>8</v>
      </c>
      <c r="B7" s="4" t="n">
        <f aca="false">COUNTIFS(Tasks!E:E,"Yes*",Tasks!K:K,"Done")+COUNTIFS(Tasks!E:E,"Only if*",Tasks!K:K,"Done")+COUNTIFS(Tasks!E:E,"Yes*",Tasks!K:K,"Not needed")+COUNTIFS(Tasks!E:E,"Only if*",Tasks!K:K,"Not needed")</f>
        <v>4</v>
      </c>
    </row>
    <row r="8" customFormat="false" ht="15" hidden="false" customHeight="false" outlineLevel="0" collapsed="false">
      <c r="A8" s="2" t="s">
        <v>9</v>
      </c>
      <c r="B8" s="4" t="n">
        <f aca="false">B6-B7</f>
        <v>26</v>
      </c>
    </row>
    <row r="9" customFormat="false" ht="15" hidden="false" customHeight="false" outlineLevel="0" collapsed="false">
      <c r="A9" s="2" t="s">
        <v>10</v>
      </c>
      <c r="B9" s="4" t="str">
        <f aca="false">COUNTIF(Tasks!K:K,"Done")&amp;" of "&amp;(COUNTA(Tasks!B:B)-1)</f>
        <v>4 of 38</v>
      </c>
    </row>
    <row r="10" customFormat="false" ht="15" hidden="false" customHeight="false" outlineLevel="0" collapsed="false">
      <c r="A10" s="2" t="s">
        <v>11</v>
      </c>
      <c r="B10" s="3" t="s">
        <v>12</v>
      </c>
    </row>
    <row r="11" customFormat="false" ht="15" hidden="false" customHeight="false" outlineLevel="0" collapsed="false">
      <c r="A11" s="2" t="s">
        <v>13</v>
      </c>
      <c r="B11" s="5" t="str">
        <f aca="false">IFERROR(INDEX(Tasks!C:C,MATCH(1,INDEX((Tasks!K2:K200&lt;&gt;"Done")*(Tasks!K2:K200&lt;&gt;"Not needed")*(Tasks!C2:C200&lt;&gt;""),0),0)+1),"All done")</f>
        <v>Buy a domain</v>
      </c>
    </row>
    <row r="13" customFormat="false" ht="15" hidden="false" customHeight="false" outlineLevel="0" collapsed="false">
      <c r="A13" s="6" t="s">
        <v>14</v>
      </c>
    </row>
    <row r="14" customFormat="false" ht="31.5" hidden="false" customHeight="true" outlineLevel="0" collapsed="false">
      <c r="A14" s="2" t="s">
        <v>15</v>
      </c>
      <c r="B14" s="3" t="s">
        <v>16</v>
      </c>
    </row>
    <row r="15" customFormat="false" ht="31.5" hidden="false" customHeight="true" outlineLevel="0" collapsed="false">
      <c r="A15" s="2" t="s">
        <v>17</v>
      </c>
      <c r="B15" s="3" t="s">
        <v>18</v>
      </c>
    </row>
    <row r="16" customFormat="false" ht="31.5" hidden="false" customHeight="true" outlineLevel="0" collapsed="false">
      <c r="A16" s="2" t="s">
        <v>19</v>
      </c>
      <c r="B16" s="3" t="s">
        <v>20</v>
      </c>
    </row>
    <row r="17" customFormat="false" ht="31.5" hidden="false" customHeight="true" outlineLevel="0" collapsed="false">
      <c r="A17" s="2" t="s">
        <v>21</v>
      </c>
      <c r="B17" s="3" t="s">
        <v>22</v>
      </c>
    </row>
    <row r="18" customFormat="false" ht="31.5" hidden="false" customHeight="true" outlineLevel="0" collapsed="false">
      <c r="A18" s="2" t="s">
        <v>23</v>
      </c>
      <c r="B18" s="3" t="s">
        <v>24</v>
      </c>
    </row>
    <row r="19" customFormat="false" ht="31.5" hidden="false" customHeight="true" outlineLevel="0" collapsed="false">
      <c r="A19" s="2" t="s">
        <v>25</v>
      </c>
      <c r="B19"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0"/>
    <col collapsed="false" customWidth="true" hidden="false" outlineLevel="0" max="4" min="4" style="0" width="40"/>
    <col collapsed="false" customWidth="true" hidden="false" outlineLevel="0" max="5" min="5" style="0" width="13"/>
    <col collapsed="false" customWidth="true" hidden="false" outlineLevel="0" max="7" min="6" style="0" width="24"/>
    <col collapsed="false" customWidth="true" hidden="false" outlineLevel="0" max="8" min="8" style="0" width="70"/>
    <col collapsed="false" customWidth="true" hidden="false" outlineLevel="0" max="9" min="9" style="0" width="32"/>
    <col collapsed="false" customWidth="true" hidden="false" outlineLevel="0" max="10" min="10" style="0" width="18"/>
    <col collapsed="false" customWidth="true" hidden="false" outlineLevel="0" max="11" min="11" style="0" width="14"/>
    <col collapsed="false" customWidth="true" hidden="false" outlineLevel="0" max="12" min="12" style="0" width="30"/>
  </cols>
  <sheetData>
    <row r="1" customFormat="false" ht="26.85" hidden="false" customHeight="false" outlineLevel="0" collapsed="false">
      <c r="A1" s="7" t="s">
        <v>27</v>
      </c>
      <c r="B1" s="7" t="s">
        <v>28</v>
      </c>
      <c r="C1" s="7" t="s">
        <v>29</v>
      </c>
      <c r="D1" s="7" t="s">
        <v>30</v>
      </c>
      <c r="E1" s="7" t="s">
        <v>31</v>
      </c>
      <c r="F1" s="7" t="s">
        <v>32</v>
      </c>
      <c r="G1" s="7" t="s">
        <v>33</v>
      </c>
      <c r="H1" s="7" t="s">
        <v>34</v>
      </c>
      <c r="I1" s="7" t="s">
        <v>35</v>
      </c>
      <c r="J1" s="7" t="s">
        <v>36</v>
      </c>
      <c r="K1" s="7" t="s">
        <v>37</v>
      </c>
      <c r="L1" s="7" t="s">
        <v>38</v>
      </c>
    </row>
    <row r="2" customFormat="false" ht="123.75" hidden="false" customHeight="true" outlineLevel="0" collapsed="false">
      <c r="A2" s="8" t="n">
        <v>1</v>
      </c>
      <c r="B2" s="9" t="s">
        <v>39</v>
      </c>
      <c r="C2" s="10" t="s">
        <v>40</v>
      </c>
      <c r="D2" s="8" t="s">
        <v>41</v>
      </c>
      <c r="E2" s="8" t="s">
        <v>42</v>
      </c>
      <c r="F2" s="8"/>
      <c r="G2" s="8" t="s">
        <v>43</v>
      </c>
      <c r="H2" s="8" t="s">
        <v>44</v>
      </c>
      <c r="I2" s="8" t="s">
        <v>45</v>
      </c>
      <c r="J2" s="8" t="s">
        <v>46</v>
      </c>
      <c r="K2" s="11" t="s">
        <v>47</v>
      </c>
      <c r="L2" s="11" t="s">
        <v>48</v>
      </c>
    </row>
    <row r="3" customFormat="false" ht="93.75" hidden="false" customHeight="true" outlineLevel="0" collapsed="false">
      <c r="A3" s="8" t="n">
        <v>2</v>
      </c>
      <c r="B3" s="9" t="s">
        <v>49</v>
      </c>
      <c r="C3" s="10" t="s">
        <v>50</v>
      </c>
      <c r="D3" s="8" t="s">
        <v>51</v>
      </c>
      <c r="E3" s="8" t="s">
        <v>42</v>
      </c>
      <c r="F3" s="8"/>
      <c r="G3" s="8" t="s">
        <v>52</v>
      </c>
      <c r="H3" s="8" t="s">
        <v>53</v>
      </c>
      <c r="I3" s="8" t="s">
        <v>54</v>
      </c>
      <c r="J3" s="8" t="s">
        <v>55</v>
      </c>
      <c r="K3" s="11" t="s">
        <v>47</v>
      </c>
      <c r="L3" s="11" t="s">
        <v>56</v>
      </c>
    </row>
    <row r="4" customFormat="false" ht="99" hidden="false" customHeight="true" outlineLevel="0" collapsed="false">
      <c r="A4" s="8" t="n">
        <v>3</v>
      </c>
      <c r="B4" s="9" t="s">
        <v>49</v>
      </c>
      <c r="C4" s="10" t="s">
        <v>57</v>
      </c>
      <c r="D4" s="8" t="s">
        <v>58</v>
      </c>
      <c r="E4" s="8" t="s">
        <v>59</v>
      </c>
      <c r="F4" s="8" t="s">
        <v>60</v>
      </c>
      <c r="G4" s="8" t="s">
        <v>61</v>
      </c>
      <c r="H4" s="8" t="s">
        <v>62</v>
      </c>
      <c r="I4" s="8" t="s">
        <v>63</v>
      </c>
      <c r="J4" s="8" t="s">
        <v>64</v>
      </c>
      <c r="K4" s="11" t="s">
        <v>65</v>
      </c>
      <c r="L4" s="11" t="s">
        <v>66</v>
      </c>
    </row>
    <row r="5" customFormat="false" ht="99.75" hidden="false" customHeight="true" outlineLevel="0" collapsed="false">
      <c r="A5" s="8" t="n">
        <v>4</v>
      </c>
      <c r="B5" s="9" t="s">
        <v>49</v>
      </c>
      <c r="C5" s="10" t="s">
        <v>67</v>
      </c>
      <c r="D5" s="8" t="s">
        <v>68</v>
      </c>
      <c r="E5" s="8" t="s">
        <v>42</v>
      </c>
      <c r="F5" s="8"/>
      <c r="G5" s="8" t="s">
        <v>69</v>
      </c>
      <c r="H5" s="8" t="s">
        <v>70</v>
      </c>
      <c r="I5" s="8" t="s">
        <v>71</v>
      </c>
      <c r="J5" s="8" t="s">
        <v>72</v>
      </c>
      <c r="K5" s="11" t="s">
        <v>73</v>
      </c>
      <c r="L5" s="11"/>
    </row>
    <row r="6" customFormat="false" ht="124.5" hidden="false" customHeight="true" outlineLevel="0" collapsed="false">
      <c r="A6" s="8" t="n">
        <v>5</v>
      </c>
      <c r="B6" s="9" t="s">
        <v>49</v>
      </c>
      <c r="C6" s="10" t="s">
        <v>74</v>
      </c>
      <c r="D6" s="8" t="s">
        <v>75</v>
      </c>
      <c r="E6" s="8" t="s">
        <v>42</v>
      </c>
      <c r="F6" s="8" t="s">
        <v>67</v>
      </c>
      <c r="G6" s="8" t="s">
        <v>76</v>
      </c>
      <c r="H6" s="8" t="s">
        <v>77</v>
      </c>
      <c r="I6" s="8" t="s">
        <v>78</v>
      </c>
      <c r="J6" s="8" t="s">
        <v>79</v>
      </c>
      <c r="K6" s="11" t="s">
        <v>73</v>
      </c>
      <c r="L6" s="11"/>
    </row>
    <row r="7" customFormat="false" ht="90" hidden="false" customHeight="true" outlineLevel="0" collapsed="false">
      <c r="A7" s="8" t="n">
        <v>6</v>
      </c>
      <c r="B7" s="9" t="s">
        <v>49</v>
      </c>
      <c r="C7" s="10" t="s">
        <v>80</v>
      </c>
      <c r="D7" s="8" t="s">
        <v>81</v>
      </c>
      <c r="E7" s="8" t="s">
        <v>42</v>
      </c>
      <c r="F7" s="8"/>
      <c r="G7" s="8" t="s">
        <v>82</v>
      </c>
      <c r="H7" s="8" t="s">
        <v>83</v>
      </c>
      <c r="I7" s="8" t="s">
        <v>84</v>
      </c>
      <c r="J7" s="8" t="s">
        <v>85</v>
      </c>
      <c r="K7" s="11" t="s">
        <v>73</v>
      </c>
      <c r="L7" s="11"/>
    </row>
    <row r="8" customFormat="false" ht="90" hidden="false" customHeight="true" outlineLevel="0" collapsed="false">
      <c r="A8" s="8" t="n">
        <v>7</v>
      </c>
      <c r="B8" s="9" t="s">
        <v>49</v>
      </c>
      <c r="C8" s="10" t="s">
        <v>86</v>
      </c>
      <c r="D8" s="8" t="s">
        <v>87</v>
      </c>
      <c r="E8" s="8" t="s">
        <v>42</v>
      </c>
      <c r="F8" s="8" t="s">
        <v>88</v>
      </c>
      <c r="G8" s="8" t="s">
        <v>89</v>
      </c>
      <c r="H8" s="8" t="s">
        <v>90</v>
      </c>
      <c r="I8" s="8" t="s">
        <v>91</v>
      </c>
      <c r="J8" s="8" t="s">
        <v>92</v>
      </c>
      <c r="K8" s="11" t="s">
        <v>73</v>
      </c>
      <c r="L8" s="11"/>
    </row>
    <row r="9" customFormat="false" ht="223.5" hidden="false" customHeight="true" outlineLevel="0" collapsed="false">
      <c r="A9" s="8" t="n">
        <v>8</v>
      </c>
      <c r="B9" s="9" t="s">
        <v>49</v>
      </c>
      <c r="C9" s="10" t="s">
        <v>93</v>
      </c>
      <c r="D9" s="8" t="s">
        <v>94</v>
      </c>
      <c r="E9" s="8" t="s">
        <v>42</v>
      </c>
      <c r="F9" s="8" t="s">
        <v>95</v>
      </c>
      <c r="G9" s="8" t="s">
        <v>96</v>
      </c>
      <c r="H9" s="8" t="s">
        <v>97</v>
      </c>
      <c r="I9" s="8" t="s">
        <v>98</v>
      </c>
      <c r="J9" s="8" t="s">
        <v>99</v>
      </c>
      <c r="K9" s="11" t="s">
        <v>73</v>
      </c>
      <c r="L9" s="11"/>
    </row>
    <row r="10" customFormat="false" ht="159.75" hidden="false" customHeight="true" outlineLevel="0" collapsed="false">
      <c r="A10" s="8" t="n">
        <v>9</v>
      </c>
      <c r="B10" s="9" t="s">
        <v>100</v>
      </c>
      <c r="C10" s="10" t="s">
        <v>101</v>
      </c>
      <c r="D10" s="8" t="s">
        <v>102</v>
      </c>
      <c r="E10" s="8" t="s">
        <v>103</v>
      </c>
      <c r="F10" s="8" t="s">
        <v>60</v>
      </c>
      <c r="G10" s="8" t="s">
        <v>104</v>
      </c>
      <c r="H10" s="8" t="s">
        <v>105</v>
      </c>
      <c r="I10" s="8" t="s">
        <v>106</v>
      </c>
      <c r="J10" s="8" t="s">
        <v>107</v>
      </c>
      <c r="K10" s="11" t="s">
        <v>73</v>
      </c>
      <c r="L10" s="11"/>
    </row>
    <row r="11" customFormat="false" ht="96" hidden="false" customHeight="true" outlineLevel="0" collapsed="false">
      <c r="A11" s="8" t="n">
        <v>10</v>
      </c>
      <c r="B11" s="9" t="s">
        <v>100</v>
      </c>
      <c r="C11" s="10" t="s">
        <v>108</v>
      </c>
      <c r="D11" s="8" t="s">
        <v>109</v>
      </c>
      <c r="E11" s="8" t="s">
        <v>42</v>
      </c>
      <c r="F11" s="8"/>
      <c r="G11" s="8" t="s">
        <v>110</v>
      </c>
      <c r="H11" s="8" t="s">
        <v>111</v>
      </c>
      <c r="I11" s="8" t="s">
        <v>112</v>
      </c>
      <c r="J11" s="8" t="s">
        <v>46</v>
      </c>
      <c r="K11" s="11" t="s">
        <v>73</v>
      </c>
      <c r="L11" s="11"/>
    </row>
    <row r="12" customFormat="false" ht="238.5" hidden="false" customHeight="true" outlineLevel="0" collapsed="false">
      <c r="A12" s="8" t="n">
        <v>11</v>
      </c>
      <c r="B12" s="9" t="s">
        <v>100</v>
      </c>
      <c r="C12" s="10" t="s">
        <v>113</v>
      </c>
      <c r="D12" s="8" t="s">
        <v>114</v>
      </c>
      <c r="E12" s="8" t="s">
        <v>42</v>
      </c>
      <c r="F12" s="8"/>
      <c r="G12" s="8" t="s">
        <v>115</v>
      </c>
      <c r="H12" s="8" t="s">
        <v>116</v>
      </c>
      <c r="I12" s="8" t="s">
        <v>117</v>
      </c>
      <c r="J12" s="8" t="s">
        <v>118</v>
      </c>
      <c r="K12" s="11" t="s">
        <v>73</v>
      </c>
      <c r="L12" s="11"/>
    </row>
    <row r="13" customFormat="false" ht="141.75" hidden="false" customHeight="true" outlineLevel="0" collapsed="false">
      <c r="A13" s="8" t="n">
        <v>12</v>
      </c>
      <c r="B13" s="9" t="s">
        <v>100</v>
      </c>
      <c r="C13" s="10" t="s">
        <v>119</v>
      </c>
      <c r="D13" s="8" t="s">
        <v>120</v>
      </c>
      <c r="E13" s="8" t="s">
        <v>121</v>
      </c>
      <c r="F13" s="8" t="s">
        <v>122</v>
      </c>
      <c r="G13" s="8" t="s">
        <v>123</v>
      </c>
      <c r="H13" s="8" t="s">
        <v>124</v>
      </c>
      <c r="I13" s="8" t="s">
        <v>125</v>
      </c>
      <c r="J13" s="8" t="s">
        <v>118</v>
      </c>
      <c r="K13" s="11" t="s">
        <v>73</v>
      </c>
      <c r="L13" s="11"/>
    </row>
    <row r="14" customFormat="false" ht="90" hidden="false" customHeight="true" outlineLevel="0" collapsed="false">
      <c r="A14" s="8" t="n">
        <v>13</v>
      </c>
      <c r="B14" s="9" t="s">
        <v>100</v>
      </c>
      <c r="C14" s="10" t="s">
        <v>126</v>
      </c>
      <c r="D14" s="8" t="s">
        <v>127</v>
      </c>
      <c r="E14" s="8" t="s">
        <v>42</v>
      </c>
      <c r="F14" s="8"/>
      <c r="G14" s="8" t="s">
        <v>128</v>
      </c>
      <c r="H14" s="8" t="s">
        <v>129</v>
      </c>
      <c r="I14" s="8" t="s">
        <v>130</v>
      </c>
      <c r="J14" s="8" t="s">
        <v>131</v>
      </c>
      <c r="K14" s="11" t="s">
        <v>73</v>
      </c>
      <c r="L14" s="11"/>
    </row>
    <row r="15" customFormat="false" ht="150.75" hidden="false" customHeight="true" outlineLevel="0" collapsed="false">
      <c r="A15" s="8" t="n">
        <v>14</v>
      </c>
      <c r="B15" s="9" t="s">
        <v>100</v>
      </c>
      <c r="C15" s="10" t="s">
        <v>132</v>
      </c>
      <c r="D15" s="8" t="s">
        <v>133</v>
      </c>
      <c r="E15" s="8" t="s">
        <v>121</v>
      </c>
      <c r="F15" s="8"/>
      <c r="G15" s="8" t="s">
        <v>134</v>
      </c>
      <c r="H15" s="8" t="s">
        <v>135</v>
      </c>
      <c r="I15" s="8" t="s">
        <v>136</v>
      </c>
      <c r="J15" s="8" t="s">
        <v>137</v>
      </c>
      <c r="K15" s="11" t="s">
        <v>73</v>
      </c>
      <c r="L15" s="11"/>
    </row>
    <row r="16" customFormat="false" ht="99" hidden="false" customHeight="true" outlineLevel="0" collapsed="false">
      <c r="A16" s="8" t="n">
        <v>15</v>
      </c>
      <c r="B16" s="9" t="s">
        <v>138</v>
      </c>
      <c r="C16" s="10" t="s">
        <v>139</v>
      </c>
      <c r="D16" s="8" t="s">
        <v>140</v>
      </c>
      <c r="E16" s="8" t="s">
        <v>42</v>
      </c>
      <c r="F16" s="8" t="s">
        <v>60</v>
      </c>
      <c r="G16" s="8" t="s">
        <v>141</v>
      </c>
      <c r="H16" s="8" t="s">
        <v>142</v>
      </c>
      <c r="I16" s="8" t="s">
        <v>143</v>
      </c>
      <c r="J16" s="8" t="s">
        <v>144</v>
      </c>
      <c r="K16" s="11" t="s">
        <v>73</v>
      </c>
      <c r="L16" s="11"/>
    </row>
    <row r="17" customFormat="false" ht="115.5" hidden="false" customHeight="true" outlineLevel="0" collapsed="false">
      <c r="A17" s="8" t="n">
        <v>16</v>
      </c>
      <c r="B17" s="9" t="s">
        <v>138</v>
      </c>
      <c r="C17" s="10" t="s">
        <v>145</v>
      </c>
      <c r="D17" s="8" t="s">
        <v>146</v>
      </c>
      <c r="E17" s="8" t="s">
        <v>42</v>
      </c>
      <c r="F17" s="8" t="s">
        <v>147</v>
      </c>
      <c r="G17" s="8" t="s">
        <v>148</v>
      </c>
      <c r="H17" s="8" t="s">
        <v>149</v>
      </c>
      <c r="I17" s="8" t="s">
        <v>150</v>
      </c>
      <c r="J17" s="8" t="s">
        <v>151</v>
      </c>
      <c r="K17" s="11" t="s">
        <v>73</v>
      </c>
      <c r="L17" s="11"/>
    </row>
    <row r="18" customFormat="false" ht="111" hidden="false" customHeight="true" outlineLevel="0" collapsed="false">
      <c r="A18" s="8" t="n">
        <v>17</v>
      </c>
      <c r="B18" s="9" t="s">
        <v>138</v>
      </c>
      <c r="C18" s="10" t="s">
        <v>152</v>
      </c>
      <c r="D18" s="8" t="s">
        <v>153</v>
      </c>
      <c r="E18" s="8" t="s">
        <v>42</v>
      </c>
      <c r="F18" s="8" t="s">
        <v>154</v>
      </c>
      <c r="G18" s="8" t="s">
        <v>155</v>
      </c>
      <c r="H18" s="8" t="s">
        <v>156</v>
      </c>
      <c r="I18" s="8" t="s">
        <v>157</v>
      </c>
      <c r="J18" s="8" t="s">
        <v>46</v>
      </c>
      <c r="K18" s="11" t="s">
        <v>73</v>
      </c>
      <c r="L18" s="11"/>
    </row>
    <row r="19" customFormat="false" ht="90" hidden="false" customHeight="true" outlineLevel="0" collapsed="false">
      <c r="A19" s="8" t="n">
        <v>18</v>
      </c>
      <c r="B19" s="9" t="s">
        <v>138</v>
      </c>
      <c r="C19" s="10" t="s">
        <v>158</v>
      </c>
      <c r="D19" s="8" t="s">
        <v>159</v>
      </c>
      <c r="E19" s="8" t="s">
        <v>42</v>
      </c>
      <c r="F19" s="8" t="s">
        <v>154</v>
      </c>
      <c r="G19" s="8" t="s">
        <v>160</v>
      </c>
      <c r="H19" s="8" t="s">
        <v>161</v>
      </c>
      <c r="I19" s="8" t="s">
        <v>162</v>
      </c>
      <c r="J19" s="8" t="s">
        <v>163</v>
      </c>
      <c r="K19" s="11" t="s">
        <v>73</v>
      </c>
      <c r="L19" s="11"/>
    </row>
    <row r="20" customFormat="false" ht="187.5" hidden="false" customHeight="true" outlineLevel="0" collapsed="false">
      <c r="A20" s="8" t="n">
        <v>19</v>
      </c>
      <c r="B20" s="9" t="s">
        <v>138</v>
      </c>
      <c r="C20" s="10" t="s">
        <v>164</v>
      </c>
      <c r="D20" s="8" t="s">
        <v>165</v>
      </c>
      <c r="E20" s="8" t="s">
        <v>42</v>
      </c>
      <c r="F20" s="8" t="s">
        <v>154</v>
      </c>
      <c r="G20" s="8" t="s">
        <v>166</v>
      </c>
      <c r="H20" s="8" t="s">
        <v>167</v>
      </c>
      <c r="I20" s="8" t="s">
        <v>168</v>
      </c>
      <c r="J20" s="8" t="s">
        <v>169</v>
      </c>
      <c r="K20" s="11" t="s">
        <v>73</v>
      </c>
      <c r="L20" s="11"/>
    </row>
    <row r="21" customFormat="false" ht="90" hidden="false" customHeight="true" outlineLevel="0" collapsed="false">
      <c r="A21" s="8" t="n">
        <v>20</v>
      </c>
      <c r="B21" s="9" t="s">
        <v>170</v>
      </c>
      <c r="C21" s="10" t="s">
        <v>171</v>
      </c>
      <c r="D21" s="8" t="s">
        <v>172</v>
      </c>
      <c r="E21" s="8" t="s">
        <v>42</v>
      </c>
      <c r="F21" s="8" t="s">
        <v>60</v>
      </c>
      <c r="G21" s="8" t="s">
        <v>173</v>
      </c>
      <c r="H21" s="8" t="s">
        <v>174</v>
      </c>
      <c r="I21" s="8" t="s">
        <v>175</v>
      </c>
      <c r="J21" s="8" t="s">
        <v>176</v>
      </c>
      <c r="K21" s="11" t="s">
        <v>47</v>
      </c>
      <c r="L21" s="11" t="s">
        <v>177</v>
      </c>
    </row>
    <row r="22" customFormat="false" ht="136.5" hidden="false" customHeight="true" outlineLevel="0" collapsed="false">
      <c r="A22" s="8" t="n">
        <v>21</v>
      </c>
      <c r="B22" s="9" t="s">
        <v>170</v>
      </c>
      <c r="C22" s="10" t="s">
        <v>178</v>
      </c>
      <c r="D22" s="8" t="s">
        <v>179</v>
      </c>
      <c r="E22" s="8" t="s">
        <v>42</v>
      </c>
      <c r="F22" s="8" t="s">
        <v>171</v>
      </c>
      <c r="G22" s="8" t="s">
        <v>180</v>
      </c>
      <c r="H22" s="8" t="s">
        <v>181</v>
      </c>
      <c r="I22" s="8" t="s">
        <v>182</v>
      </c>
      <c r="J22" s="8" t="s">
        <v>169</v>
      </c>
      <c r="K22" s="11" t="s">
        <v>73</v>
      </c>
      <c r="L22" s="11"/>
    </row>
    <row r="23" customFormat="false" ht="90" hidden="false" customHeight="true" outlineLevel="0" collapsed="false">
      <c r="A23" s="8" t="n">
        <v>22</v>
      </c>
      <c r="B23" s="9" t="s">
        <v>170</v>
      </c>
      <c r="C23" s="10" t="s">
        <v>183</v>
      </c>
      <c r="D23" s="8" t="s">
        <v>184</v>
      </c>
      <c r="E23" s="8" t="s">
        <v>42</v>
      </c>
      <c r="F23" s="8" t="s">
        <v>185</v>
      </c>
      <c r="G23" s="8" t="s">
        <v>186</v>
      </c>
      <c r="H23" s="8" t="s">
        <v>187</v>
      </c>
      <c r="I23" s="8" t="s">
        <v>188</v>
      </c>
      <c r="J23" s="8" t="s">
        <v>118</v>
      </c>
      <c r="K23" s="11" t="s">
        <v>73</v>
      </c>
      <c r="L23" s="11"/>
    </row>
    <row r="24" customFormat="false" ht="120" hidden="false" customHeight="true" outlineLevel="0" collapsed="false">
      <c r="A24" s="8" t="n">
        <v>23</v>
      </c>
      <c r="B24" s="9" t="s">
        <v>170</v>
      </c>
      <c r="C24" s="10" t="s">
        <v>189</v>
      </c>
      <c r="D24" s="8" t="s">
        <v>190</v>
      </c>
      <c r="E24" s="8" t="s">
        <v>42</v>
      </c>
      <c r="F24" s="8" t="s">
        <v>183</v>
      </c>
      <c r="G24" s="8" t="s">
        <v>191</v>
      </c>
      <c r="H24" s="8" t="s">
        <v>192</v>
      </c>
      <c r="I24" s="8" t="s">
        <v>193</v>
      </c>
      <c r="J24" s="8" t="s">
        <v>151</v>
      </c>
      <c r="K24" s="11" t="s">
        <v>73</v>
      </c>
      <c r="L24" s="11"/>
    </row>
    <row r="25" customFormat="false" ht="123" hidden="false" customHeight="true" outlineLevel="0" collapsed="false">
      <c r="A25" s="8" t="n">
        <v>24</v>
      </c>
      <c r="B25" s="9" t="s">
        <v>170</v>
      </c>
      <c r="C25" s="10" t="s">
        <v>194</v>
      </c>
      <c r="D25" s="8" t="s">
        <v>195</v>
      </c>
      <c r="E25" s="8" t="s">
        <v>196</v>
      </c>
      <c r="F25" s="8" t="s">
        <v>183</v>
      </c>
      <c r="G25" s="8" t="s">
        <v>197</v>
      </c>
      <c r="H25" s="8" t="s">
        <v>198</v>
      </c>
      <c r="I25" s="8" t="s">
        <v>199</v>
      </c>
      <c r="J25" s="8" t="s">
        <v>200</v>
      </c>
      <c r="K25" s="11" t="s">
        <v>73</v>
      </c>
      <c r="L25" s="11"/>
    </row>
    <row r="26" customFormat="false" ht="90.75" hidden="false" customHeight="true" outlineLevel="0" collapsed="false">
      <c r="A26" s="8" t="n">
        <v>25</v>
      </c>
      <c r="B26" s="9" t="s">
        <v>201</v>
      </c>
      <c r="C26" s="10" t="s">
        <v>202</v>
      </c>
      <c r="D26" s="8" t="s">
        <v>203</v>
      </c>
      <c r="E26" s="8" t="s">
        <v>42</v>
      </c>
      <c r="F26" s="8" t="s">
        <v>40</v>
      </c>
      <c r="G26" s="8" t="s">
        <v>204</v>
      </c>
      <c r="H26" s="8" t="s">
        <v>205</v>
      </c>
      <c r="I26" s="8" t="s">
        <v>206</v>
      </c>
      <c r="J26" s="8" t="s">
        <v>163</v>
      </c>
      <c r="K26" s="11" t="s">
        <v>73</v>
      </c>
      <c r="L26" s="11"/>
    </row>
    <row r="27" customFormat="false" ht="117" hidden="false" customHeight="true" outlineLevel="0" collapsed="false">
      <c r="A27" s="8" t="n">
        <v>26</v>
      </c>
      <c r="B27" s="9" t="s">
        <v>201</v>
      </c>
      <c r="C27" s="10" t="s">
        <v>207</v>
      </c>
      <c r="D27" s="8" t="s">
        <v>208</v>
      </c>
      <c r="E27" s="8" t="s">
        <v>42</v>
      </c>
      <c r="F27" s="8" t="s">
        <v>209</v>
      </c>
      <c r="G27" s="8" t="s">
        <v>210</v>
      </c>
      <c r="H27" s="8" t="s">
        <v>211</v>
      </c>
      <c r="I27" s="8" t="s">
        <v>212</v>
      </c>
      <c r="J27" s="8" t="s">
        <v>46</v>
      </c>
      <c r="K27" s="11" t="s">
        <v>73</v>
      </c>
      <c r="L27" s="11"/>
    </row>
    <row r="28" customFormat="false" ht="93" hidden="false" customHeight="true" outlineLevel="0" collapsed="false">
      <c r="A28" s="8" t="n">
        <v>27</v>
      </c>
      <c r="B28" s="9" t="s">
        <v>201</v>
      </c>
      <c r="C28" s="10" t="s">
        <v>213</v>
      </c>
      <c r="D28" s="8" t="s">
        <v>214</v>
      </c>
      <c r="E28" s="8" t="s">
        <v>42</v>
      </c>
      <c r="F28" s="8" t="s">
        <v>209</v>
      </c>
      <c r="G28" s="8" t="s">
        <v>215</v>
      </c>
      <c r="H28" s="8" t="s">
        <v>216</v>
      </c>
      <c r="I28" s="8" t="s">
        <v>217</v>
      </c>
      <c r="J28" s="8" t="s">
        <v>151</v>
      </c>
      <c r="K28" s="11" t="s">
        <v>73</v>
      </c>
      <c r="L28" s="11"/>
    </row>
    <row r="29" customFormat="false" ht="90" hidden="false" customHeight="true" outlineLevel="0" collapsed="false">
      <c r="A29" s="8" t="n">
        <v>28</v>
      </c>
      <c r="B29" s="9" t="s">
        <v>218</v>
      </c>
      <c r="C29" s="10" t="s">
        <v>185</v>
      </c>
      <c r="D29" s="8" t="s">
        <v>219</v>
      </c>
      <c r="E29" s="8" t="s">
        <v>42</v>
      </c>
      <c r="F29" s="8" t="s">
        <v>220</v>
      </c>
      <c r="G29" s="8" t="s">
        <v>221</v>
      </c>
      <c r="H29" s="8" t="s">
        <v>222</v>
      </c>
      <c r="I29" s="8" t="s">
        <v>223</v>
      </c>
      <c r="J29" s="8" t="s">
        <v>224</v>
      </c>
      <c r="K29" s="11" t="s">
        <v>73</v>
      </c>
      <c r="L29" s="11"/>
    </row>
    <row r="30" customFormat="false" ht="273.75" hidden="false" customHeight="true" outlineLevel="0" collapsed="false">
      <c r="A30" s="8" t="n">
        <v>29</v>
      </c>
      <c r="B30" s="9" t="s">
        <v>218</v>
      </c>
      <c r="C30" s="10" t="s">
        <v>225</v>
      </c>
      <c r="D30" s="8" t="s">
        <v>226</v>
      </c>
      <c r="E30" s="8" t="s">
        <v>42</v>
      </c>
      <c r="F30" s="8" t="s">
        <v>185</v>
      </c>
      <c r="G30" s="8" t="s">
        <v>227</v>
      </c>
      <c r="H30" s="8" t="s">
        <v>228</v>
      </c>
      <c r="I30" s="8" t="s">
        <v>229</v>
      </c>
      <c r="J30" s="8" t="s">
        <v>169</v>
      </c>
      <c r="K30" s="11" t="s">
        <v>73</v>
      </c>
      <c r="L30" s="11"/>
    </row>
    <row r="31" customFormat="false" ht="108.75" hidden="false" customHeight="true" outlineLevel="0" collapsed="false">
      <c r="A31" s="8" t="n">
        <v>30</v>
      </c>
      <c r="B31" s="9" t="s">
        <v>218</v>
      </c>
      <c r="C31" s="10" t="s">
        <v>230</v>
      </c>
      <c r="D31" s="8" t="s">
        <v>231</v>
      </c>
      <c r="E31" s="8" t="s">
        <v>42</v>
      </c>
      <c r="F31" s="8" t="s">
        <v>232</v>
      </c>
      <c r="G31" s="8" t="s">
        <v>233</v>
      </c>
      <c r="H31" s="8" t="s">
        <v>234</v>
      </c>
      <c r="I31" s="8" t="s">
        <v>235</v>
      </c>
      <c r="J31" s="8" t="s">
        <v>236</v>
      </c>
      <c r="K31" s="11" t="s">
        <v>73</v>
      </c>
      <c r="L31" s="11"/>
    </row>
    <row r="32" customFormat="false" ht="90" hidden="false" customHeight="true" outlineLevel="0" collapsed="false">
      <c r="A32" s="8" t="n">
        <v>31</v>
      </c>
      <c r="B32" s="9" t="s">
        <v>218</v>
      </c>
      <c r="C32" s="10" t="s">
        <v>237</v>
      </c>
      <c r="D32" s="8" t="s">
        <v>238</v>
      </c>
      <c r="E32" s="8" t="s">
        <v>42</v>
      </c>
      <c r="F32" s="8" t="s">
        <v>239</v>
      </c>
      <c r="G32" s="8" t="s">
        <v>240</v>
      </c>
      <c r="H32" s="8" t="s">
        <v>241</v>
      </c>
      <c r="I32" s="8" t="s">
        <v>242</v>
      </c>
      <c r="J32" s="8" t="s">
        <v>243</v>
      </c>
      <c r="K32" s="11" t="s">
        <v>73</v>
      </c>
      <c r="L32" s="11"/>
    </row>
    <row r="33" customFormat="false" ht="90" hidden="false" customHeight="true" outlineLevel="0" collapsed="false">
      <c r="A33" s="8" t="n">
        <v>32</v>
      </c>
      <c r="B33" s="9" t="s">
        <v>218</v>
      </c>
      <c r="C33" s="10" t="s">
        <v>244</v>
      </c>
      <c r="D33" s="8" t="s">
        <v>245</v>
      </c>
      <c r="E33" s="8" t="s">
        <v>121</v>
      </c>
      <c r="F33" s="8" t="s">
        <v>246</v>
      </c>
      <c r="G33" s="8" t="s">
        <v>247</v>
      </c>
      <c r="H33" s="8" t="s">
        <v>248</v>
      </c>
      <c r="I33" s="8" t="s">
        <v>249</v>
      </c>
      <c r="J33" s="8" t="s">
        <v>163</v>
      </c>
      <c r="K33" s="11" t="s">
        <v>73</v>
      </c>
      <c r="L33" s="11"/>
    </row>
    <row r="34" customFormat="false" ht="103.5" hidden="false" customHeight="true" outlineLevel="0" collapsed="false">
      <c r="A34" s="8" t="n">
        <v>33</v>
      </c>
      <c r="B34" s="9" t="s">
        <v>250</v>
      </c>
      <c r="C34" s="10" t="s">
        <v>251</v>
      </c>
      <c r="D34" s="8" t="s">
        <v>252</v>
      </c>
      <c r="E34" s="8" t="s">
        <v>42</v>
      </c>
      <c r="F34" s="8" t="s">
        <v>253</v>
      </c>
      <c r="G34" s="8" t="s">
        <v>43</v>
      </c>
      <c r="H34" s="8" t="s">
        <v>254</v>
      </c>
      <c r="I34" s="8" t="s">
        <v>255</v>
      </c>
      <c r="J34" s="8" t="s">
        <v>46</v>
      </c>
      <c r="K34" s="11" t="s">
        <v>73</v>
      </c>
      <c r="L34" s="11"/>
    </row>
    <row r="35" customFormat="false" ht="187.5" hidden="false" customHeight="true" outlineLevel="0" collapsed="false">
      <c r="A35" s="8" t="n">
        <v>34</v>
      </c>
      <c r="B35" s="9" t="s">
        <v>250</v>
      </c>
      <c r="C35" s="10" t="s">
        <v>256</v>
      </c>
      <c r="D35" s="8" t="s">
        <v>257</v>
      </c>
      <c r="E35" s="8" t="s">
        <v>121</v>
      </c>
      <c r="F35" s="8" t="s">
        <v>251</v>
      </c>
      <c r="G35" s="8" t="s">
        <v>258</v>
      </c>
      <c r="H35" s="8" t="s">
        <v>259</v>
      </c>
      <c r="I35" s="8" t="s">
        <v>260</v>
      </c>
      <c r="J35" s="8" t="s">
        <v>118</v>
      </c>
      <c r="K35" s="11" t="s">
        <v>73</v>
      </c>
      <c r="L35" s="11"/>
    </row>
    <row r="36" customFormat="false" ht="184.5" hidden="false" customHeight="true" outlineLevel="0" collapsed="false">
      <c r="A36" s="8" t="n">
        <v>35</v>
      </c>
      <c r="B36" s="9" t="s">
        <v>250</v>
      </c>
      <c r="C36" s="10" t="s">
        <v>261</v>
      </c>
      <c r="D36" s="8" t="s">
        <v>262</v>
      </c>
      <c r="E36" s="8" t="s">
        <v>121</v>
      </c>
      <c r="F36" s="8" t="s">
        <v>256</v>
      </c>
      <c r="G36" s="8" t="s">
        <v>263</v>
      </c>
      <c r="H36" s="8" t="s">
        <v>264</v>
      </c>
      <c r="I36" s="8" t="s">
        <v>265</v>
      </c>
      <c r="J36" s="8" t="s">
        <v>266</v>
      </c>
      <c r="K36" s="11" t="s">
        <v>73</v>
      </c>
      <c r="L36" s="11"/>
    </row>
    <row r="37" customFormat="false" ht="90" hidden="false" customHeight="true" outlineLevel="0" collapsed="false">
      <c r="A37" s="8" t="n">
        <v>36</v>
      </c>
      <c r="B37" s="9" t="s">
        <v>267</v>
      </c>
      <c r="C37" s="10" t="s">
        <v>268</v>
      </c>
      <c r="D37" s="8" t="s">
        <v>269</v>
      </c>
      <c r="E37" s="8" t="s">
        <v>121</v>
      </c>
      <c r="F37" s="8"/>
      <c r="G37" s="8" t="s">
        <v>270</v>
      </c>
      <c r="H37" s="8" t="s">
        <v>271</v>
      </c>
      <c r="I37" s="8" t="s">
        <v>272</v>
      </c>
      <c r="J37" s="8" t="s">
        <v>46</v>
      </c>
      <c r="K37" s="11" t="s">
        <v>73</v>
      </c>
      <c r="L37" s="11"/>
    </row>
    <row r="38" customFormat="false" ht="90" hidden="false" customHeight="true" outlineLevel="0" collapsed="false">
      <c r="A38" s="8" t="n">
        <v>37</v>
      </c>
      <c r="B38" s="9" t="s">
        <v>267</v>
      </c>
      <c r="C38" s="10" t="s">
        <v>273</v>
      </c>
      <c r="D38" s="8" t="s">
        <v>274</v>
      </c>
      <c r="E38" s="8" t="s">
        <v>121</v>
      </c>
      <c r="F38" s="8"/>
      <c r="G38" s="8" t="s">
        <v>275</v>
      </c>
      <c r="H38" s="8" t="s">
        <v>276</v>
      </c>
      <c r="I38" s="8" t="s">
        <v>277</v>
      </c>
      <c r="J38" s="8" t="s">
        <v>278</v>
      </c>
      <c r="K38" s="11" t="s">
        <v>73</v>
      </c>
      <c r="L38" s="11"/>
    </row>
    <row r="39" customFormat="false" ht="90" hidden="false" customHeight="true" outlineLevel="0" collapsed="false">
      <c r="A39" s="8" t="n">
        <v>38</v>
      </c>
      <c r="B39" s="9" t="s">
        <v>267</v>
      </c>
      <c r="C39" s="10" t="s">
        <v>253</v>
      </c>
      <c r="D39" s="8" t="s">
        <v>279</v>
      </c>
      <c r="E39" s="8" t="s">
        <v>121</v>
      </c>
      <c r="F39" s="8"/>
      <c r="G39" s="8" t="s">
        <v>247</v>
      </c>
      <c r="H39" s="8" t="s">
        <v>280</v>
      </c>
      <c r="I39" s="8" t="s">
        <v>281</v>
      </c>
      <c r="J39" s="8" t="s">
        <v>282</v>
      </c>
      <c r="K39" s="11" t="s">
        <v>47</v>
      </c>
      <c r="L39" s="11" t="s">
        <v>283</v>
      </c>
    </row>
  </sheetData>
  <autoFilter ref="A1:L39"/>
  <conditionalFormatting sqref="A2:L39">
    <cfRule type="expression" priority="2" aboveAverage="0" equalAverage="0" bottom="0" percent="0" rank="0" text="" dxfId="6">
      <formula>$K2="Done"</formula>
    </cfRule>
    <cfRule type="expression" priority="3" aboveAverage="0" equalAverage="0" bottom="0" percent="0" rank="0" text="" dxfId="7">
      <formula>$K2="In progress"</formula>
    </cfRule>
  </conditionalFormatting>
  <dataValidations count="1">
    <dataValidation allowBlank="false" errorStyle="stop" operator="between" showDropDown="false" showErrorMessage="false" showInputMessage="false" sqref="K2:K39" type="list">
      <formula1>"Not started,In progress,Done,Not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55"/>
    <col collapsed="false" customWidth="true" hidden="false" outlineLevel="0" max="3" min="3" style="0" width="36"/>
    <col collapsed="false" customWidth="true" hidden="false" outlineLevel="0" max="4" min="4" style="0" width="40"/>
  </cols>
  <sheetData>
    <row r="1" customFormat="false" ht="15" hidden="false" customHeight="false" outlineLevel="0" collapsed="false">
      <c r="A1" s="12" t="s">
        <v>284</v>
      </c>
      <c r="B1" s="12" t="s">
        <v>285</v>
      </c>
      <c r="C1" s="12" t="s">
        <v>286</v>
      </c>
      <c r="D1" s="12" t="s">
        <v>287</v>
      </c>
    </row>
    <row r="2" customFormat="false" ht="15" hidden="false" customHeight="false" outlineLevel="0" collapsed="false">
      <c r="A2" s="10" t="s">
        <v>288</v>
      </c>
      <c r="B2" s="8" t="s">
        <v>289</v>
      </c>
      <c r="C2" s="13" t="s">
        <v>290</v>
      </c>
      <c r="D2" s="11" t="s">
        <v>290</v>
      </c>
    </row>
    <row r="3" customFormat="false" ht="23.85" hidden="false" customHeight="false" outlineLevel="0" collapsed="false">
      <c r="A3" s="10" t="s">
        <v>291</v>
      </c>
      <c r="B3" s="8" t="s">
        <v>292</v>
      </c>
      <c r="C3" s="13" t="s">
        <v>293</v>
      </c>
      <c r="D3" s="11" t="s">
        <v>293</v>
      </c>
    </row>
    <row r="4" customFormat="false" ht="15" hidden="false" customHeight="false" outlineLevel="0" collapsed="false">
      <c r="A4" s="10" t="s">
        <v>294</v>
      </c>
      <c r="B4" s="8" t="s">
        <v>295</v>
      </c>
      <c r="C4" s="13" t="s">
        <v>296</v>
      </c>
      <c r="D4" s="11"/>
    </row>
    <row r="5" customFormat="false" ht="15" hidden="false" customHeight="false" outlineLevel="0" collapsed="false">
      <c r="A5" s="10" t="s">
        <v>297</v>
      </c>
      <c r="B5" s="8" t="s">
        <v>298</v>
      </c>
      <c r="C5" s="13" t="s">
        <v>299</v>
      </c>
      <c r="D5" s="11"/>
    </row>
    <row r="6" customFormat="false" ht="15" hidden="false" customHeight="false" outlineLevel="0" collapsed="false">
      <c r="A6" s="10" t="s">
        <v>300</v>
      </c>
      <c r="B6" s="8" t="s">
        <v>301</v>
      </c>
      <c r="C6" s="13" t="s">
        <v>302</v>
      </c>
      <c r="D6" s="11"/>
    </row>
    <row r="7" customFormat="false" ht="15" hidden="false" customHeight="false" outlineLevel="0" collapsed="false">
      <c r="A7" s="10" t="s">
        <v>303</v>
      </c>
      <c r="B7" s="8" t="s">
        <v>304</v>
      </c>
      <c r="C7" s="13" t="s">
        <v>305</v>
      </c>
      <c r="D7" s="11"/>
    </row>
    <row r="8" customFormat="false" ht="15" hidden="false" customHeight="false" outlineLevel="0" collapsed="false">
      <c r="A8" s="10" t="s">
        <v>306</v>
      </c>
      <c r="B8" s="8" t="s">
        <v>307</v>
      </c>
      <c r="C8" s="13" t="s">
        <v>308</v>
      </c>
      <c r="D8" s="11"/>
    </row>
    <row r="9" customFormat="false" ht="15" hidden="false" customHeight="false" outlineLevel="0" collapsed="false">
      <c r="A9" s="10" t="s">
        <v>309</v>
      </c>
      <c r="B9" s="8" t="s">
        <v>310</v>
      </c>
      <c r="C9" s="13" t="s">
        <v>311</v>
      </c>
      <c r="D9" s="11"/>
    </row>
    <row r="10" customFormat="false" ht="15" hidden="false" customHeight="false" outlineLevel="0" collapsed="false">
      <c r="A10" s="10" t="s">
        <v>312</v>
      </c>
      <c r="B10" s="8" t="s">
        <v>313</v>
      </c>
      <c r="C10" s="13" t="s">
        <v>314</v>
      </c>
      <c r="D10" s="11"/>
    </row>
    <row r="11" customFormat="false" ht="15" hidden="false" customHeight="false" outlineLevel="0" collapsed="false">
      <c r="A11" s="10" t="s">
        <v>315</v>
      </c>
      <c r="B11" s="8" t="s">
        <v>316</v>
      </c>
      <c r="C11" s="13" t="s">
        <v>317</v>
      </c>
      <c r="D11" s="11"/>
    </row>
    <row r="12" customFormat="false" ht="15" hidden="false" customHeight="false" outlineLevel="0" collapsed="false">
      <c r="A12" s="10" t="s">
        <v>318</v>
      </c>
      <c r="B12" s="8" t="s">
        <v>319</v>
      </c>
      <c r="C12" s="13" t="s">
        <v>320</v>
      </c>
      <c r="D12" s="11"/>
    </row>
    <row r="13" customFormat="false" ht="15" hidden="false" customHeight="false" outlineLevel="0" collapsed="false">
      <c r="A13" s="10" t="s">
        <v>321</v>
      </c>
      <c r="B13" s="8" t="s">
        <v>322</v>
      </c>
      <c r="C13" s="13" t="s">
        <v>323</v>
      </c>
      <c r="D13" s="11"/>
    </row>
    <row r="14" customFormat="false" ht="15" hidden="false" customHeight="false" outlineLevel="0" collapsed="false">
      <c r="A14" s="10" t="s">
        <v>324</v>
      </c>
      <c r="B14" s="8" t="s">
        <v>325</v>
      </c>
      <c r="C14" s="13" t="s">
        <v>326</v>
      </c>
      <c r="D14" s="11"/>
    </row>
    <row r="15" customFormat="false" ht="15" hidden="false" customHeight="false" outlineLevel="0" collapsed="false">
      <c r="A15" s="10" t="s">
        <v>327</v>
      </c>
      <c r="B15" s="8" t="s">
        <v>328</v>
      </c>
      <c r="C15" s="13" t="s">
        <v>329</v>
      </c>
      <c r="D15" s="11"/>
    </row>
    <row r="16" customFormat="false" ht="15" hidden="false" customHeight="false" outlineLevel="0" collapsed="false">
      <c r="A16" s="10" t="s">
        <v>330</v>
      </c>
      <c r="B16" s="8" t="s">
        <v>331</v>
      </c>
      <c r="C16" s="13" t="s">
        <v>332</v>
      </c>
      <c r="D16" s="11"/>
    </row>
    <row r="17" customFormat="false" ht="15" hidden="false" customHeight="false" outlineLevel="0" collapsed="false">
      <c r="A17" s="10" t="s">
        <v>333</v>
      </c>
      <c r="B17" s="8" t="s">
        <v>334</v>
      </c>
      <c r="C17" s="13" t="s">
        <v>335</v>
      </c>
      <c r="D17" s="11"/>
    </row>
    <row r="19" customFormat="false" ht="15" hidden="false" customHeight="false" outlineLevel="0" collapsed="false">
      <c r="A19" s="2" t="s">
        <v>336</v>
      </c>
      <c r="B19" s="2" t="str">
        <f aca="false">COUNTA(D2:D17)&amp;" of 16"</f>
        <v>2 of 16</v>
      </c>
    </row>
    <row r="20" customFormat="false" ht="15" hidden="false" customHeight="false" outlineLevel="0" collapsed="false">
      <c r="A20" s="2" t="s">
        <v>337</v>
      </c>
      <c r="B20" s="14"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95"/>
  </cols>
  <sheetData>
    <row r="1" customFormat="false" ht="15" hidden="false" customHeight="false" outlineLevel="0" collapsed="false">
      <c r="A1" s="12" t="s">
        <v>284</v>
      </c>
      <c r="B1" s="12" t="s">
        <v>339</v>
      </c>
    </row>
    <row r="2" customFormat="false" ht="15" hidden="false" customHeight="false" outlineLevel="0" collapsed="false">
      <c r="A2" s="8" t="s">
        <v>340</v>
      </c>
      <c r="B2" s="8" t="s">
        <v>341</v>
      </c>
    </row>
    <row r="3" customFormat="false" ht="15" hidden="false" customHeight="false" outlineLevel="0" collapsed="false">
      <c r="A3" s="8" t="s">
        <v>342</v>
      </c>
      <c r="B3" s="8" t="s">
        <v>343</v>
      </c>
    </row>
    <row r="4" customFormat="false" ht="15" hidden="false" customHeight="false" outlineLevel="0" collapsed="false">
      <c r="A4" s="8" t="s">
        <v>344</v>
      </c>
      <c r="B4" s="8" t="s">
        <v>345</v>
      </c>
    </row>
    <row r="5" customFormat="false" ht="15" hidden="false" customHeight="false" outlineLevel="0" collapsed="false">
      <c r="A5" s="8" t="s">
        <v>346</v>
      </c>
      <c r="B5" s="8" t="s">
        <v>347</v>
      </c>
    </row>
    <row r="6" customFormat="false" ht="15" hidden="false" customHeight="false" outlineLevel="0" collapsed="false">
      <c r="A6" s="8" t="s">
        <v>348</v>
      </c>
      <c r="B6" s="8" t="s">
        <v>349</v>
      </c>
    </row>
    <row r="7" customFormat="false" ht="15" hidden="false" customHeight="false" outlineLevel="0" collapsed="false">
      <c r="A7" s="8" t="s">
        <v>350</v>
      </c>
      <c r="B7" s="8" t="s">
        <v>351</v>
      </c>
    </row>
    <row r="8" customFormat="false" ht="15" hidden="false" customHeight="false" outlineLevel="0" collapsed="false">
      <c r="A8" s="8" t="s">
        <v>352</v>
      </c>
      <c r="B8" s="8" t="s">
        <v>353</v>
      </c>
    </row>
    <row r="9" customFormat="false" ht="15" hidden="false" customHeight="false" outlineLevel="0" collapsed="false">
      <c r="A9" s="8" t="s">
        <v>354</v>
      </c>
      <c r="B9" s="8" t="s">
        <v>355</v>
      </c>
    </row>
    <row r="10" customFormat="false" ht="15" hidden="false" customHeight="false" outlineLevel="0" collapsed="false">
      <c r="A10" s="8" t="s">
        <v>356</v>
      </c>
      <c r="B10" s="8" t="s">
        <v>357</v>
      </c>
    </row>
    <row r="11" customFormat="false" ht="15" hidden="false" customHeight="false" outlineLevel="0" collapsed="false">
      <c r="A11" s="8" t="s">
        <v>358</v>
      </c>
      <c r="B11" s="8" t="s">
        <v>359</v>
      </c>
    </row>
    <row r="12" customFormat="false" ht="15" hidden="false" customHeight="false" outlineLevel="0" collapsed="false">
      <c r="A12" s="8" t="s">
        <v>360</v>
      </c>
      <c r="B12" s="8" t="s">
        <v>361</v>
      </c>
    </row>
    <row r="13" customFormat="false" ht="15" hidden="false" customHeight="false" outlineLevel="0" collapsed="false">
      <c r="A13" s="8" t="s">
        <v>362</v>
      </c>
      <c r="B13" s="8" t="s">
        <v>363</v>
      </c>
    </row>
    <row r="14" customFormat="false" ht="15" hidden="false" customHeight="false" outlineLevel="0" collapsed="false">
      <c r="A14" s="8" t="s">
        <v>364</v>
      </c>
      <c r="B14" s="8" t="s">
        <v>365</v>
      </c>
    </row>
    <row r="15" customFormat="false" ht="15" hidden="false" customHeight="false" outlineLevel="0" collapsed="false">
      <c r="A15" s="8" t="s">
        <v>366</v>
      </c>
      <c r="B15" s="8" t="s">
        <v>367</v>
      </c>
    </row>
    <row r="16" customFormat="false" ht="15" hidden="false" customHeight="false" outlineLevel="0" collapsed="false">
      <c r="A16" s="8" t="s">
        <v>368</v>
      </c>
      <c r="B16" s="8"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2026-10-07T13:44:27Z</dcterms:created>
  <dc:creator>openpyxl</dc:creator>
  <dc:description/>
  <dc:language>en-EG</dc:language>
  <cp:lastModifiedBy/>
  <dcterms:modified xsi:type="dcterms:W3CDTF">2026-10-07T13:44:27Z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